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3f3a5e5bec4f4d" /></Relationships>
</file>

<file path=xl/workbook.xml><?xml version="1.0" encoding="utf-8"?>
<x:workbook xmlns:x="http://schemas.openxmlformats.org/spreadsheetml/2006/main">
  <x:sheets>
    <x:sheet xmlns:r="http://schemas.openxmlformats.org/officeDocument/2006/relationships" name="Pre-test" sheetId="1" r:id="Re42c876d780a44f2"/>
    <x:sheet xmlns:r="http://schemas.openxmlformats.org/officeDocument/2006/relationships" name="Post-test" sheetId="2" r:id="R2ad38da97a0c4dc0"/>
    <x:sheet xmlns:r="http://schemas.openxmlformats.org/officeDocument/2006/relationships" name="Lý do" sheetId="3" r:id="R9e6cf99e6af944a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0.00"/>
  </x:numFmts>
  <x:fonts count="11">
    <x:font>
      <x:sz val="11"/>
      <x:name val="Carlito"/>
    </x:font>
    <x:font>
      <x:b/>
      <x:sz val="16"/>
      <x:color rgb="FFFFFFFF"/>
      <x:name val="Carlito"/>
    </x:font>
    <x:font>
      <x:i/>
      <x:sz val="10"/>
      <x:color rgb="FF666666"/>
      <x:name val="Carlito"/>
    </x:font>
    <x:font>
      <x:b/>
      <x:sz val="11"/>
      <x:color rgb="FF1F1F1F"/>
      <x:name val="Carlito"/>
    </x:font>
    <x:font>
      <x:b/>
      <x:sz val="11"/>
      <x:color rgb="FFFFFFFF"/>
      <x:name val="Carlito"/>
    </x:font>
    <x:font>
      <x:b/>
      <x:sz val="11"/>
      <x:color rgb="FF17365D"/>
      <x:name val="Carlito"/>
    </x:font>
    <x:font>
      <x:sz val="10"/>
      <x:color rgb="FF1F1F1F"/>
      <x:name val="Carlito"/>
    </x:font>
    <x:font>
      <x:b/>
      <x:sz val="10"/>
      <x:color rgb="FF17365D"/>
      <x:name val="Carlito"/>
    </x:font>
    <x:font>
      <x:sz val="10"/>
      <x:color rgb="FF666666"/>
      <x:name val="Carlito"/>
    </x:font>
    <x:font>
      <x:b/>
      <x:sz val="11"/>
      <x:color rgb="FF548235"/>
      <x:name val="Carlito"/>
    </x:font>
    <x:font>
      <x:b/>
      <x:sz val="11"/>
      <x:color rgb="FF0F6B78"/>
      <x:name val="Carlito"/>
    </x:font>
  </x:fonts>
  <x:fills count="15">
    <x:fill>
      <x:patternFill patternType="none"/>
    </x:fill>
    <x:fill>
      <x:patternFill patternType="gray125"/>
    </x:fill>
    <x:fill>
      <x:patternFill patternType="solid">
        <x:fgColor rgb="FF17365D"/>
      </x:patternFill>
    </x:fill>
    <x:fill>
      <x:patternFill patternType="solid">
        <x:fgColor rgb="FFEDF5FB"/>
      </x:patternFill>
    </x:fill>
    <x:fill>
      <x:patternFill patternType="solid">
        <x:fgColor rgb="FFFFF2CC"/>
      </x:patternFill>
    </x:fill>
    <x:fill>
      <x:patternFill patternType="solid">
        <x:fgColor rgb="FFFFFFFF"/>
      </x:patternFill>
    </x:fill>
    <x:fill>
      <x:patternFill patternType="solid">
        <x:fgColor rgb="FF2F75B5"/>
      </x:patternFill>
    </x:fill>
    <x:fill>
      <x:patternFill patternType="solid">
        <x:fgColor rgb="FFD9EAF7"/>
      </x:patternFill>
    </x:fill>
    <x:fill>
      <x:patternFill patternType="solid">
        <x:fgColor rgb="FFF2F2F2"/>
      </x:patternFill>
    </x:fill>
    <x:fill>
      <x:patternFill patternType="solid">
        <x:fgColor rgb="FFFFFBEA"/>
      </x:patternFill>
    </x:fill>
    <x:fill>
      <x:patternFill patternType="solid">
        <x:fgColor rgb="FF0F6B78"/>
      </x:patternFill>
    </x:fill>
    <x:fill>
      <x:patternFill patternType="solid">
        <x:fgColor rgb="FFBF9000"/>
      </x:patternFill>
    </x:fill>
    <x:fill>
      <x:patternFill patternType="solid">
        <x:fgColor rgb="FF548235"/>
      </x:patternFill>
    </x:fill>
    <x:fill>
      <x:patternFill patternType="solid">
        <x:fgColor rgb="FFE2F0D9"/>
      </x:patternFill>
    </x:fill>
    <x:fill>
      <x:patternFill patternType="solid">
        <x:fgColor rgb="FFDDEBF7"/>
      </x:patternFill>
    </x:fill>
  </x:fills>
  <x:borders count="4">
    <x:border/>
    <x:border>
      <x:left style="thin">
        <x:color rgb="FFC9D2DC"/>
      </x:left>
      <x:right style="thin">
        <x:color rgb="FFC9D2DC"/>
      </x:right>
      <x:top style="thin">
        <x:color rgb="FFC9D2DC"/>
      </x:top>
      <x:bottom style="thin">
        <x:color rgb="FFC9D2DC"/>
      </x:bottom>
    </x:border>
    <x:border>
      <x:bottom style="thin">
        <x:color rgb="FFC9D2DC"/>
      </x:bottom>
    </x:border>
    <x:border>
      <x:top style="thin">
        <x:color rgb="FFC9D2DC"/>
      </x:top>
      <x:bottom style="thin">
        <x:color rgb="FFC9D2DC"/>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3" fillId="5" borderId="1" xfId="0" applyNumberFormat="1" applyFont="1" applyFill="1" applyBorder="1" applyAlignment="1">
      <x:alignment vertical="center"/>
    </x:xf>
    <x:xf numFmtId="200" fontId="3" fillId="5" borderId="1"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0" fillId="7" borderId="0"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horizontal="center" wrapText="1"/>
    </x:xf>
    <x:xf numFmtId="0" fontId="5" fillId="7"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7" fillId="8" borderId="2"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7" fillId="8" borderId="1" xfId="0" applyNumberFormat="1" applyFont="1" applyFill="1" applyBorder="1" applyAlignment="1">
      <x:alignment horizontal="center" vertical="top" wrapText="1"/>
    </x:xf>
    <x:xf numFmtId="0" fontId="7" fillId="8" borderId="1" xfId="0" applyNumberFormat="1" applyFont="1" applyFill="1" applyBorder="1" applyAlignment="1">
      <x:alignment horizontal="center" vertical="center" wrapText="1"/>
    </x:xf>
    <x:xf numFmtId="0" fontId="6" fillId="9" borderId="2" xfId="0" applyNumberFormat="1" applyFont="1" applyFill="1" applyBorder="1" applyAlignment="1">
      <x:alignment vertical="top" wrapText="1"/>
    </x:xf>
    <x:xf numFmtId="0" fontId="6" fillId="9" borderId="3"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1" xfId="0" applyNumberFormat="1" applyFont="1" applyFill="1" applyBorder="1" applyAlignment="1">
      <x:alignment horizontal="center" vertical="top"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vertical="center"/>
    </x:xf>
    <x:xf numFmtId="201" fontId="3" fillId="5" borderId="1" xfId="0" applyNumberFormat="1" applyFont="1" applyFill="1" applyBorder="1" applyAlignment="1">
      <x:alignmen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202" fontId="9" fillId="13" borderId="1" xfId="0" applyNumberFormat="1" applyFont="1" applyFill="1" applyBorder="1"/>
    <x:xf numFmtId="0" fontId="0" fillId="14" borderId="0" xfId="0" applyNumberFormat="1" applyFont="1" applyFill="1" applyBorder="1"/>
    <x:xf numFmtId="0" fontId="10" fillId="14" borderId="0" xfId="0" applyNumberFormat="1" applyFont="1" applyFill="1" applyBorder="1"/>
    <x:xf numFmtId="0" fontId="10" fillId="14" borderId="1" xfId="0" applyNumberFormat="1" applyFont="1" applyFill="1" applyBorder="1"/>
    <x:xf numFmtId="203" fontId="10" fillId="14"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14" borderId="2" xfId="0" applyNumberFormat="1" applyFont="1" applyFill="1" applyBorder="1" applyAlignment="1">
      <x:alignment vertical="top" wrapText="1"/>
    </x:xf>
    <x:xf numFmtId="0" fontId="0" fillId="14" borderId="3" xfId="0" applyNumberFormat="1" applyFont="1" applyFill="1" applyBorder="1" applyAlignment="1">
      <x:alignment vertical="top" wrapText="1"/>
    </x:xf>
    <x:xf numFmtId="0" fontId="10" fillId="14" borderId="2" xfId="0" applyNumberFormat="1" applyFont="1" applyFill="1" applyBorder="1" applyAlignment="1">
      <x:alignment vertical="top" wrapText="1"/>
    </x:xf>
    <x:xf numFmtId="0" fontId="10" fillId="14" borderId="3" xfId="0" applyNumberFormat="1" applyFont="1" applyFill="1" applyBorder="1" applyAlignment="1">
      <x:alignment vertical="top" wrapText="1"/>
    </x:xf>
    <x:xf numFmtId="0" fontId="10" fillId="14" borderId="1" xfId="0" applyNumberFormat="1" applyFont="1" applyFill="1" applyBorder="1" applyAlignment="1">
      <x:alignment vertical="top" wrapText="1"/>
    </x:xf>
  </x:cellXfs>
  <x:cellStyles count="1">
    <x:cellStyle name="Normal" xfId="0"/>
  </x:cellStyles>
  <x:dxfs count="4">
    <x:dxf>
      <x:font>
        <x:color rgb="FFC00000"/>
      </x:font>
      <x:fill>
        <x:patternFill patternType="solid">
          <x:bgColor rgb="FFFCE4D6"/>
        </x:patternFill>
      </x:fill>
    </x:dxf>
    <x:dxf>
      <x:font>
        <x:color rgb="FFC00000"/>
      </x:font>
      <x:fill>
        <x:patternFill patternType="solid">
          <x:bgColor rgb="FFFCE4D6"/>
        </x:patternFill>
      </x:fill>
    </x:dxf>
    <x:dxf>
      <x:font>
        <x:b/>
        <x:color rgb="FFC00000"/>
      </x:font>
      <x:fill>
        <x:patternFill patternType="solid">
          <x:bgColor rgb="FFFCE4D6"/>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a468d73cf44118" /><Relationship Type="http://schemas.openxmlformats.org/officeDocument/2006/relationships/theme" Target="/xl/theme/theme1.xml" Id="Ra68d4f01c12b48d5" /><Relationship Type="http://schemas.openxmlformats.org/officeDocument/2006/relationships/sharedStrings" Target="/xl/sharedStrings.xml" Id="R7c13ea657b4b40de" /><Relationship Type="http://schemas.openxmlformats.org/officeDocument/2006/relationships/worksheet" Target="/xl/worksheets/sheet1.xml" Id="Re42c876d780a44f2" /><Relationship Type="http://schemas.openxmlformats.org/officeDocument/2006/relationships/worksheet" Target="/xl/worksheets/sheet2.xml" Id="R2ad38da97a0c4dc0" /><Relationship Type="http://schemas.openxmlformats.org/officeDocument/2006/relationships/worksheet" Target="/xl/worksheets/sheet3.xml" Id="R9e6cf99e6af944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54" hidden="0" customWidth="1"/>
    <x:col min="3" max="3" width="18" hidden="0" customWidth="1"/>
    <x:col min="4" max="4" width="35" hidden="0" customWidth="1"/>
    <x:col min="5" max="5" width="25" hidden="0" customWidth="1"/>
    <x:col min="6" max="6" width="32" hidden="0" customWidth="1"/>
    <x:col min="7" max="7" width="13" hidden="0" customWidth="1"/>
  </x:cols>
  <x:sheetData>
    <x:row r="1" ht="32" customHeight="1">
      <x:c r="A1" s="4" t="str">
        <x:v>PHIẾU PRE-TEST — VR FIRE SAFETY (SINGLEPLAYER)</x:v>
      </x:c>
      <x:c r="B1" s="4"/>
      <x:c r="C1" s="4"/>
      <x:c r="D1" s="4"/>
      <x:c r="E1" s="4"/>
      <x:c r="F1" s="4"/>
      <x:c r="G1" s="4"/>
    </x:row>
    <x:row r="2" ht="34" customHeight="1">
      <x:c r="A2" s="8" t="str">
        <x:v>Điền trước khi sử dụng VR. Không xem đáp án hoặc điểm cho đến khi hoàn tất post-test.</x:v>
      </x:c>
      <x:c r="B2" s="8"/>
      <x:c r="C2" s="8"/>
      <x:c r="D2" s="8"/>
      <x:c r="E2" s="8"/>
      <x:c r="F2" s="8"/>
      <x:c r="G2" s="8"/>
    </x:row>
    <x:row r="3">
      <x:c r="A3" s="12" t="str">
        <x:v>Mã người tham gia</x:v>
      </x:c>
      <x:c r="B3" s="13" t="str"/>
      <x:c r="C3" s="12" t="str">
        <x:v>Ngày</x:v>
      </x:c>
      <x:c r="D3" s="14" t="str"/>
      <x:c r="E3" s="12" t="str">
        <x:v>Điểm kiến thức /10</x:v>
      </x:c>
      <x:c r="F3" s="48" t="n">
        <x:f>IF(COUNTA(E16:E25)=0,"",SUM(G16:G25))</x:f>
        <x:v>0</x:v>
      </x:c>
      <x:c r="G3" s="12" t="str"/>
    </x:row>
    <x:row r="5" ht="24" customHeight="1">
      <x:c r="A5" s="17" t="str">
        <x:v>A. THÔNG TIN NỀN VÀ NGUY CƠ KHÓ CHỊU KHI DÙNG VR</x:v>
      </x:c>
      <x:c r="B5" s="17"/>
      <x:c r="C5" s="17"/>
      <x:c r="D5" s="17"/>
      <x:c r="E5" s="17"/>
      <x:c r="F5" s="17"/>
      <x:c r="G5" s="17"/>
    </x:row>
    <x:row r="6" ht="30" customHeight="1">
      <x:c r="A6" s="23" t="str">
        <x:v>Mã</x:v>
      </x:c>
      <x:c r="B6" s="23" t="str">
        <x:v>Câu hỏi / nhận định</x:v>
      </x:c>
      <x:c r="C6" s="23" t="str">
        <x:v>Loại dữ liệu</x:v>
      </x:c>
      <x:c r="D6" s="23" t="str">
        <x:v>Phương án / thang đo</x:v>
      </x:c>
      <x:c r="E6" s="23" t="str">
        <x:v>Câu trả lời</x:v>
      </x:c>
      <x:c r="F6" s="23" t="str">
        <x:v>Ghi chú</x:v>
      </x:c>
      <x:c r="G6" s="23" t="str">
        <x:v>Điểm (NCV)</x:v>
      </x:c>
    </x:row>
    <x:row r="7" ht="44" customHeight="1">
      <x:c r="A7" s="37" t="str">
        <x:v>P1</x:v>
      </x:c>
      <x:c r="B7" s="29" t="str">
        <x:v>Bạn đã sử dụng kính VR bao nhiêu lần trước đây?</x:v>
      </x:c>
      <x:c r="C7" s="29" t="str">
        <x:v>Phân loại</x:v>
      </x:c>
      <x:c r="D7" s="29" t="str">
        <x:v>Chọn một phương án</x:v>
      </x:c>
      <x:c r="E7" s="40" t="str"/>
      <x:c r="F7" s="29" t="str"/>
      <x:c r="G7" s="44" t="str"/>
    </x:row>
    <x:row r="8" ht="44" customHeight="1">
      <x:c r="A8" s="37" t="str">
        <x:v>P2</x:v>
      </x:c>
      <x:c r="B8" s="30" t="str">
        <x:v>Bạn đã từng tham gia khóa học hoặc buổi hướng dẫn về phòng cháy, chữa cháy chưa?</x:v>
      </x:c>
      <x:c r="C8" s="30" t="str">
        <x:v>Phân loại</x:v>
      </x:c>
      <x:c r="D8" s="30" t="str">
        <x:v>Có / Không / Không nhớ rõ</x:v>
      </x:c>
      <x:c r="E8" s="40" t="str"/>
      <x:c r="F8" s="30" t="str"/>
      <x:c r="G8" s="44" t="str"/>
    </x:row>
    <x:row r="9" ht="44" customHeight="1">
      <x:c r="A9" s="37" t="str">
        <x:v>P3</x:v>
      </x:c>
      <x:c r="B9" s="30" t="str">
        <x:v>Bạn đã từng được hướng dẫn cách xử lý rò rỉ khí gas chưa?</x:v>
      </x:c>
      <x:c r="C9" s="30" t="str">
        <x:v>Phân loại</x:v>
      </x:c>
      <x:c r="D9" s="30" t="str">
        <x:v>Có / Không / Không nhớ rõ</x:v>
      </x:c>
      <x:c r="E9" s="40" t="str"/>
      <x:c r="F9" s="30" t="str"/>
      <x:c r="G9" s="44" t="str"/>
    </x:row>
    <x:row r="10" ht="44" customHeight="1">
      <x:c r="A10" s="37" t="str">
        <x:v>P4a</x:v>
      </x:c>
      <x:c r="B10" s="30" t="str">
        <x:v>Bạn có thường bị say xe hoặc say tàu không?</x:v>
      </x:c>
      <x:c r="C10" s="30" t="str">
        <x:v>Tần suất</x:v>
      </x:c>
      <x:c r="D10" s="30" t="str">
        <x:v>Không bao giờ → Thường xuyên</x:v>
      </x:c>
      <x:c r="E10" s="40" t="str"/>
      <x:c r="F10" s="30" t="str"/>
      <x:c r="G10" s="44" t="str"/>
    </x:row>
    <x:row r="11" ht="44" customHeight="1">
      <x:c r="A11" s="37" t="str">
        <x:v>P4b</x:v>
      </x:c>
      <x:c r="B11" s="30" t="str">
        <x:v>Bạn đã từng chóng mặt, buồn nôn, đau đầu hoặc mỏi mắt khi sử dụng VR chưa?</x:v>
      </x:c>
      <x:c r="C11" s="30" t="str">
        <x:v>Tần suất</x:v>
      </x:c>
      <x:c r="D11" s="30" t="str">
        <x:v>Chưa dùng VR / Không bao giờ → Thường xuyên</x:v>
      </x:c>
      <x:c r="E11" s="40" t="str"/>
      <x:c r="F11" s="30" t="str"/>
      <x:c r="G11" s="44" t="str"/>
    </x:row>
    <x:row r="12" ht="44" customHeight="1">
      <x:c r="A12" s="37" t="str">
        <x:v>P4c</x:v>
      </x:c>
      <x:c r="B12" s="30" t="str">
        <x:v>Hiện tại, trước khi bắt đầu trải nghiệm, bạn có cảm thấy chóng mặt, buồn nôn, đau đầu hoặc mỏi mắt không?</x:v>
      </x:c>
      <x:c r="C12" s="30" t="str">
        <x:v>Mức độ</x:v>
      </x:c>
      <x:c r="D12" s="30" t="str">
        <x:v>Không có / Nhẹ / Vừa / Nặng</x:v>
      </x:c>
      <x:c r="E12" s="40" t="str"/>
      <x:c r="F12" s="30" t="str"/>
      <x:c r="G12" s="44" t="str"/>
    </x:row>
    <x:row r="14" ht="24" customHeight="1">
      <x:c r="A14" s="17" t="str">
        <x:v>B. KIỂM TRA KIẾN THỨC BAN ĐẦU</x:v>
      </x:c>
      <x:c r="B14" s="17"/>
      <x:c r="C14" s="17"/>
      <x:c r="D14" s="17"/>
      <x:c r="E14" s="17"/>
      <x:c r="F14" s="17"/>
      <x:c r="G14" s="17"/>
    </x:row>
    <x:row r="15" ht="30" customHeight="1">
      <x:c r="A15" s="23" t="str">
        <x:v>Mã</x:v>
      </x:c>
      <x:c r="B15" s="23" t="str">
        <x:v>Câu hỏi / nhận định</x:v>
      </x:c>
      <x:c r="C15" s="23" t="str">
        <x:v>Loại dữ liệu</x:v>
      </x:c>
      <x:c r="D15" s="23" t="str">
        <x:v>Phương án / thang đo</x:v>
      </x:c>
      <x:c r="E15" s="23" t="str">
        <x:v>Câu trả lời</x:v>
      </x:c>
      <x:c r="F15" s="23" t="str">
        <x:v>Ghi chú</x:v>
      </x:c>
      <x:c r="G15" s="23" t="str">
        <x:v>Điểm (NCV)</x:v>
      </x:c>
    </x:row>
    <x:row r="16" ht="44" customHeight="1">
      <x:c r="A16" s="37" t="str">
        <x:v>C1</x:v>
      </x:c>
      <x:c r="B16" s="29" t="str">
        <x:v>Khi phát hiện mùi gas, bật đèn hoặc quạt điện để kiểm tra và thông gió là hành động phù hợp.</x:v>
      </x:c>
      <x:c r="C16" s="29" t="str">
        <x:v>Kiến thức</x:v>
      </x:c>
      <x:c r="D16" s="29" t="str">
        <x:v>Đúng / Sai / Không chắc</x:v>
      </x:c>
      <x:c r="E16" s="40" t="str"/>
      <x:c r="F16" s="29" t="str"/>
      <x:c r="G16" s="44" t="str">
        <x:f>IF(E16="","",IF(E16='Lý do'!$F$8,1,0))</x:f>
      </x:c>
    </x:row>
    <x:row r="17" ht="44" customHeight="1">
      <x:c r="A17" s="37" t="str">
        <x:v>C2</x:v>
      </x:c>
      <x:c r="B17" s="30" t="str">
        <x:v>Có thể sử dụng điện thoại ngay trong khu vực đang có khí gas rò rỉ để gọi trợ giúp.</x:v>
      </x:c>
      <x:c r="C17" s="30" t="str">
        <x:v>Kiến thức</x:v>
      </x:c>
      <x:c r="D17" s="30" t="str">
        <x:v>Đúng / Sai / Không chắc</x:v>
      </x:c>
      <x:c r="E17" s="40" t="str"/>
      <x:c r="F17" s="30" t="str"/>
      <x:c r="G17" s="44" t="str">
        <x:f>IF(E17="","",IF(E17='Lý do'!$F$9,1,0))</x:f>
      </x:c>
    </x:row>
    <x:row r="18" ht="44" customHeight="1">
      <x:c r="A18" s="37" t="str">
        <x:v>C3</x:v>
      </x:c>
      <x:c r="B18" s="30" t="str">
        <x:v>Khí gas hóa lỏng bị rò rỉ có thể tích tụ tại các vị trí thấp và gần mặt sàn.</x:v>
      </x:c>
      <x:c r="C18" s="30" t="str">
        <x:v>Kiến thức</x:v>
      </x:c>
      <x:c r="D18" s="30" t="str">
        <x:v>Đúng / Sai / Không chắc</x:v>
      </x:c>
      <x:c r="E18" s="40" t="str"/>
      <x:c r="F18" s="30" t="str"/>
      <x:c r="G18" s="44" t="str">
        <x:f>IF(E18="","",IF(E18='Lý do'!$F$10,1,0))</x:f>
      </x:c>
    </x:row>
    <x:row r="19" ht="44" customHeight="1">
      <x:c r="A19" s="37" t="str">
        <x:v>C4</x:v>
      </x:c>
      <x:c r="B19" s="30" t="str">
        <x:v>Có thể mở cửa ra vào và cửa sổ bằng tay để thông gió tự nhiên, nhưng cần tránh bật hoặc tắt thiết bị điện.</x:v>
      </x:c>
      <x:c r="C19" s="30" t="str">
        <x:v>Kiến thức</x:v>
      </x:c>
      <x:c r="D19" s="30" t="str">
        <x:v>Đúng / Sai / Không chắc</x:v>
      </x:c>
      <x:c r="E19" s="40" t="str"/>
      <x:c r="F19" s="30" t="str"/>
      <x:c r="G19" s="44" t="str">
        <x:f>IF(E19="","",IF(E19='Lý do'!$F$11,1,0))</x:f>
      </x:c>
    </x:row>
    <x:row r="20" ht="44" customHeight="1">
      <x:c r="A20" s="37" t="str">
        <x:v>C5</x:v>
      </x:c>
      <x:c r="B20" s="30" t="str">
        <x:v>Khi phát hiện rò rỉ gas, chỉ nên khóa van bình nếu có thể tiếp cận và thực hiện mà không đặt bản thân vào tình trạng nguy hiểm.</x:v>
      </x:c>
      <x:c r="C20" s="30" t="str">
        <x:v>Kiến thức</x:v>
      </x:c>
      <x:c r="D20" s="30" t="str">
        <x:v>Đúng / Sai / Không chắc</x:v>
      </x:c>
      <x:c r="E20" s="40" t="str"/>
      <x:c r="F20" s="30" t="str"/>
      <x:c r="G20" s="44" t="str">
        <x:f>IF(E20="","",IF(E20='Lý do'!$F$12,1,0))</x:f>
      </x:c>
    </x:row>
    <x:row r="21" ht="44" customHeight="1">
      <x:c r="A21" s="37" t="str">
        <x:v>C6</x:v>
      </x:c>
      <x:c r="B21" s="30" t="str">
        <x:v>Có thể sử dụng bật lửa hoặc que diêm để xác định vị trí gas đang rò rỉ.</x:v>
      </x:c>
      <x:c r="C21" s="30" t="str">
        <x:v>Kiến thức</x:v>
      </x:c>
      <x:c r="D21" s="30" t="str">
        <x:v>Đúng / Sai / Không chắc</x:v>
      </x:c>
      <x:c r="E21" s="40" t="str"/>
      <x:c r="F21" s="30" t="str"/>
      <x:c r="G21" s="44" t="str">
        <x:f>IF(E21="","",IF(E21='Lý do'!$F$13,1,0))</x:f>
      </x:c>
    </x:row>
    <x:row r="22" ht="44" customHeight="1">
      <x:c r="A22" s="37" t="str">
        <x:v>C7</x:v>
      </x:c>
      <x:c r="B22" s="30" t="str">
        <x:v>Nếu không thể kiểm soát sự cố, cần đưa mọi người ra khỏi khu vực nguy hiểm và gọi trợ giúp từ vị trí an toàn.</x:v>
      </x:c>
      <x:c r="C22" s="30" t="str">
        <x:v>Kiến thức</x:v>
      </x:c>
      <x:c r="D22" s="30" t="str">
        <x:v>Đúng / Sai / Không chắc</x:v>
      </x:c>
      <x:c r="E22" s="40" t="str"/>
      <x:c r="F22" s="30" t="str"/>
      <x:c r="G22" s="44" t="str">
        <x:f>IF(E22="","",IF(E22='Lý do'!$F$14,1,0))</x:f>
      </x:c>
    </x:row>
    <x:row r="23" ht="44" customHeight="1">
      <x:c r="A23" s="37" t="str">
        <x:v>C8</x:v>
      </x:c>
      <x:c r="B23" s="30" t="str">
        <x:v>Khí gas tích tụ trong không khí có thể phát sinh cháy hoặc nổ khi gặp nguồn nhiệt hoặc tia lửa.</x:v>
      </x:c>
      <x:c r="C23" s="30" t="str">
        <x:v>Kiến thức</x:v>
      </x:c>
      <x:c r="D23" s="30" t="str">
        <x:v>Đúng / Sai / Không chắc</x:v>
      </x:c>
      <x:c r="E23" s="40" t="str"/>
      <x:c r="F23" s="30" t="str"/>
      <x:c r="G23" s="44" t="str">
        <x:f>IF(E23="","",IF(E23='Lý do'!$F$15,1,0))</x:f>
      </x:c>
    </x:row>
    <x:row r="24" ht="82" customHeight="1">
      <x:c r="A24" s="37" t="str">
        <x:v>C9</x:v>
      </x:c>
      <x:c r="B24" s="30" t="str">
        <x:v>Bạn phát hiện mùi gas trong phòng, chưa có cháy và van bình có thể tiếp cận an toàn. Trình tự nào phù hợp nhất?</x:v>
      </x:c>
      <x:c r="C24" s="30" t="str">
        <x:v>Tình huống</x:v>
      </x:c>
      <x:c r="D24" s="30" t="str">
        <x:v>A. Bật đèn → tìm chỗ rò → bật quạt điện
B. Cảnh báo mọi người → tránh tia lửa → khóa van nếu an toàn → mở cửa bằng tay để thông gió
C. Gọi điện cạnh bình gas → đóng kín cửa
D. Chờ khí gas tự hết</x:v>
      </x:c>
      <x:c r="E24" s="40" t="str"/>
      <x:c r="F24" s="30" t="str"/>
      <x:c r="G24" s="44" t="str">
        <x:f>IF(E24="","",IF(E24='Lý do'!$F$16,1,0))</x:f>
      </x:c>
    </x:row>
    <x:row r="25" ht="82" customHeight="1">
      <x:c r="A25" s="37" t="str">
        <x:v>C10</x:v>
      </x:c>
      <x:c r="B25" s="30" t="str">
        <x:v>Nếu không thể khóa van hoặc lượng khí gas rò rỉ quá lớn, bạn nên làm gì?</x:v>
      </x:c>
      <x:c r="C25" s="30" t="str">
        <x:v>Tình huống</x:v>
      </x:c>
      <x:c r="D25" s="30" t="str">
        <x:v>A. Ở lại tìm cách xử lý
B. Dùng thiết bị điện tìm chỗ rò
C. Rời khu vực, cảnh báo mọi người và gọi hỗ trợ từ nơi an toàn
D. Đóng tất cả cửa rồi ở lại theo dõi</x:v>
      </x:c>
      <x:c r="E25" s="40" t="str"/>
      <x:c r="F25" s="30" t="str"/>
      <x:c r="G25" s="44" t="str">
        <x:f>IF(E25="","",IF(E25='Lý do'!$F$17,1,0))</x:f>
      </x:c>
    </x:row>
    <x:row r="27" ht="24" customHeight="1">
      <x:c r="A27" s="47" t="str">
        <x:v>C. MỨC TỰ TIN TRƯỚC HUẤN LUYỆN</x:v>
      </x:c>
      <x:c r="B27" s="47"/>
      <x:c r="C27" s="47"/>
      <x:c r="D27" s="47"/>
      <x:c r="E27" s="47"/>
      <x:c r="F27" s="47"/>
      <x:c r="G27" s="47"/>
    </x:row>
    <x:row r="28" ht="30" customHeight="1">
      <x:c r="A28" s="23" t="str">
        <x:v>Mã</x:v>
      </x:c>
      <x:c r="B28" s="23" t="str">
        <x:v>Câu hỏi / nhận định</x:v>
      </x:c>
      <x:c r="C28" s="23" t="str">
        <x:v>Loại dữ liệu</x:v>
      </x:c>
      <x:c r="D28" s="23" t="str">
        <x:v>Phương án / thang đo</x:v>
      </x:c>
      <x:c r="E28" s="23" t="str">
        <x:v>Câu trả lời</x:v>
      </x:c>
      <x:c r="F28" s="23" t="str">
        <x:v>Ghi chú</x:v>
      </x:c>
      <x:c r="G28" s="23" t="str">
        <x:v>Điểm (NCV)</x:v>
      </x:c>
    </x:row>
    <x:row r="29" ht="44" customHeight="1">
      <x:c r="A29" s="37" t="str">
        <x:v>S1</x:v>
      </x:c>
      <x:c r="B29" s="29" t="str">
        <x:v>Tôi tự tin có thể nhận biết những hành động phải tránh khi phát hiện rò rỉ gas.</x:v>
      </x:c>
      <x:c r="C29" s="29" t="str">
        <x:v>Self-efficacy</x:v>
      </x:c>
      <x:c r="D29" s="29" t="str">
        <x:v>1 = Hoàn toàn không tự tin; 5 = Hoàn toàn tự tin</x:v>
      </x:c>
      <x:c r="E29" s="40" t="str"/>
      <x:c r="F29" s="29" t="str"/>
      <x:c r="G29" s="44" t="str">
        <x:f>IF(E29="","",VALUE(E29))</x:f>
      </x:c>
    </x:row>
    <x:row r="30" ht="44" customHeight="1">
      <x:c r="A30" s="37" t="str">
        <x:v>S2</x:v>
      </x:c>
      <x:c r="B30" s="30" t="str">
        <x:v>Tôi tự tin có thể nêu đúng trình tự xử lý sự cố rò rỉ gas.</x:v>
      </x:c>
      <x:c r="C30" s="30" t="str">
        <x:v>Self-efficacy</x:v>
      </x:c>
      <x:c r="D30" s="30" t="str">
        <x:v>1 = Hoàn toàn không tự tin; 5 = Hoàn toàn tự tin</x:v>
      </x:c>
      <x:c r="E30" s="40" t="str"/>
      <x:c r="F30" s="30" t="str"/>
      <x:c r="G30" s="44" t="str">
        <x:f>IF(E30="","",VALUE(E30))</x:f>
      </x:c>
    </x:row>
    <x:row r="31" ht="44" customHeight="1">
      <x:c r="A31" s="37" t="str">
        <x:v>S3</x:v>
      </x:c>
      <x:c r="B31" s="30" t="str">
        <x:v>Tôi tự tin có thể quyết định khi nào nên tự xử lý và khi nào phải rời khỏi khu vực.</x:v>
      </x:c>
      <x:c r="C31" s="30" t="str">
        <x:v>Self-efficacy</x:v>
      </x:c>
      <x:c r="D31" s="30" t="str">
        <x:v>1 = Hoàn toàn không tự tin; 5 = Hoàn toàn tự tin</x:v>
      </x:c>
      <x:c r="E31" s="40" t="str"/>
      <x:c r="F31" s="30" t="str"/>
      <x:c r="G31" s="44" t="str">
        <x:f>IF(E31="","",VALUE(E31))</x:f>
      </x:c>
    </x:row>
  </x:sheetData>
  <x:mergeCells>
    <x:mergeCell ref="A1:G1"/>
    <x:mergeCell ref="A2:G2"/>
    <x:mergeCell ref="A5:G5"/>
    <x:mergeCell ref="A14:G14"/>
    <x:mergeCell ref="A27:G27"/>
  </x:mergeCells>
  <x:conditionalFormatting sqref="E16:E25">
    <x:cfRule type="containsText" dxfId="0" priority="1" operator="containsText" text="Không chắc"/>
  </x:conditionalFormatting>
  <x:dataValidations count="19">
    <x:dataValidation type="list" sqref="E7">
      <x:formula1>"Chưa từng,1–2 lần,3–5 lần,Trên 5 lần,Sử dụng thường xuyên"</x:formula1>
    </x:dataValidation>
    <x:dataValidation type="list" sqref="E8">
      <x:formula1>"Có,Không,Không nhớ rõ"</x:formula1>
    </x:dataValidation>
    <x:dataValidation type="list" sqref="E9">
      <x:formula1>"Có,Không,Không nhớ rõ"</x:formula1>
    </x:dataValidation>
    <x:dataValidation type="list" sqref="E10">
      <x:formula1>"Không bao giờ,Hiếm khi,Thỉnh thoảng,Thường xuyên"</x:formula1>
    </x:dataValidation>
    <x:dataValidation type="list" sqref="E11">
      <x:formula1>"Chưa từng dùng VR,Không bao giờ,Hiếm khi,Thỉnh thoảng,Thường xuyên"</x:formula1>
    </x:dataValidation>
    <x:dataValidation type="list" sqref="E12">
      <x:formula1>"Không có,Nhẹ,Vừa,Nặng"</x:formula1>
    </x:dataValidation>
    <x:dataValidation type="list" sqref="E16">
      <x:formula1>"Đúng,Sai,Không chắc"</x:formula1>
    </x:dataValidation>
    <x:dataValidation type="list" sqref="E17">
      <x:formula1>"Đúng,Sai,Không chắc"</x:formula1>
    </x:dataValidation>
    <x:dataValidation type="list" sqref="E18">
      <x:formula1>"Đúng,Sai,Không chắc"</x:formula1>
    </x:dataValidation>
    <x:dataValidation type="list" sqref="E19">
      <x:formula1>"Đúng,Sai,Không chắc"</x:formula1>
    </x:dataValidation>
    <x:dataValidation type="list" sqref="E20">
      <x:formula1>"Đúng,Sai,Không chắc"</x:formula1>
    </x:dataValidation>
    <x:dataValidation type="list" sqref="E21">
      <x:formula1>"Đúng,Sai,Không chắc"</x:formula1>
    </x:dataValidation>
    <x:dataValidation type="list" sqref="E22">
      <x:formula1>"Đúng,Sai,Không chắc"</x:formula1>
    </x:dataValidation>
    <x:dataValidation type="list" sqref="E23">
      <x:formula1>"Đúng,Sai,Không chắc"</x:formula1>
    </x:dataValidation>
    <x:dataValidation type="list" sqref="E24">
      <x:formula1>"A,B,C,D"</x:formula1>
    </x:dataValidation>
    <x:dataValidation type="list" sqref="E25">
      <x:formula1>"A,B,C,D"</x:formula1>
    </x:dataValidation>
    <x:dataValidation type="list" sqref="E29">
      <x:formula1>"1,2,3,4,5"</x:formula1>
    </x:dataValidation>
    <x:dataValidation type="list" sqref="E30">
      <x:formula1>"1,2,3,4,5"</x:formula1>
    </x:dataValidation>
    <x:dataValidation type="list" sqref="E31">
      <x:formula1>"1,2,3,4,5"</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54" hidden="0" customWidth="1"/>
    <x:col min="3" max="3" width="18" hidden="0" customWidth="1"/>
    <x:col min="4" max="4" width="35" hidden="0" customWidth="1"/>
    <x:col min="5" max="5" width="25" hidden="0" customWidth="1"/>
    <x:col min="6" max="6" width="32" hidden="0" customWidth="1"/>
    <x:col min="7" max="7" width="13" hidden="0" customWidth="1"/>
  </x:cols>
  <x:sheetData>
    <x:row r="1" ht="32" customHeight="1">
      <x:c r="A1" s="4" t="str">
        <x:v>PHIẾU POST-TEST — VR FIRE SAFETY (SINGLEPLAYER)</x:v>
      </x:c>
      <x:c r="B1" s="4"/>
      <x:c r="C1" s="4"/>
      <x:c r="D1" s="4"/>
      <x:c r="E1" s="4"/>
      <x:c r="F1" s="4"/>
      <x:c r="G1" s="4"/>
    </x:row>
    <x:row r="2" ht="34" customHeight="1">
      <x:c r="A2" s="8" t="str">
        <x:v>Điền ngay sau trải nghiệm. Các câu phỏng vấn mở nên được người nghiên cứu hỏi và ghi nguyên ý người tham gia.</x:v>
      </x:c>
      <x:c r="B2" s="8"/>
      <x:c r="C2" s="8"/>
      <x:c r="D2" s="8"/>
      <x:c r="E2" s="8"/>
      <x:c r="F2" s="8"/>
      <x:c r="G2" s="8"/>
    </x:row>
    <x:row r="3">
      <x:c r="A3" s="12" t="str">
        <x:v>Mã người tham gia</x:v>
      </x:c>
      <x:c r="B3" s="13" t="str"/>
      <x:c r="C3" s="12" t="str">
        <x:v>Ngày</x:v>
      </x:c>
      <x:c r="D3" s="14" t="str"/>
      <x:c r="E3" s="12" t="str">
        <x:v>Điểm kiến thức /10</x:v>
      </x:c>
      <x:c r="F3" s="13" t="n">
        <x:f>IF(COUNTA(E7:E16)=0,"",SUM(G7:G16))</x:f>
        <x:v>0</x:v>
      </x:c>
      <x:c r="G3" s="12" t="str"/>
    </x:row>
    <x:row r="4">
      <x:c r="A4" s="61" t="str">
        <x:v>Thay đổi self-efficacy</x:v>
      </x:c>
      <x:c r="B4" s="61" t="str"/>
      <x:c r="C4" s="62" t="str">
        <x:f>IF(OR(COUNT(G20:G22)&lt;3,COUNT('Pre-test'!G29:G31)&lt;3),"",AVERAGE(G20:G22)-AVERAGE('Pre-test'!G29:G31))</x:f>
      </x:c>
      <x:c r="D4" s="20" t="str">
        <x:v>Thay đổi kiến thức</x:v>
      </x:c>
      <x:c r="E4" s="20" t="str">
        <x:f>IF(OR(F3="",'Pre-test'!F3=""),"",F3-'Pre-test'!F3)</x:f>
      </x:c>
      <x:c r="F4" s="57" t="str">
        <x:v>Điểm SUS /100</x:v>
      </x:c>
      <x:c r="G4" s="58" t="n">
        <x:f>IF(COUNTA(E33:E42)&lt;10,"",SUM(G33:G42)*2.5)</x:f>
        <x:v>0</x:v>
      </x:c>
    </x:row>
    <x:row r="5" ht="24" customHeight="1">
      <x:c r="A5" s="17" t="str">
        <x:v>A. KIỂM TRA KIẾN THỨC SAU TRẢI NGHIỆM</x:v>
      </x:c>
      <x:c r="B5" s="17"/>
      <x:c r="C5" s="17"/>
      <x:c r="D5" s="17"/>
      <x:c r="E5" s="17"/>
      <x:c r="F5" s="17"/>
      <x:c r="G5" s="17"/>
    </x:row>
    <x:row r="6" ht="30" customHeight="1">
      <x:c r="A6" s="23" t="str">
        <x:v>Mã</x:v>
      </x:c>
      <x:c r="B6" s="23" t="str">
        <x:v>Câu hỏi / nhận định</x:v>
      </x:c>
      <x:c r="C6" s="23" t="str">
        <x:v>Loại dữ liệu</x:v>
      </x:c>
      <x:c r="D6" s="23" t="str">
        <x:v>Phương án / thang đo</x:v>
      </x:c>
      <x:c r="E6" s="23" t="str">
        <x:v>Câu trả lời</x:v>
      </x:c>
      <x:c r="F6" s="23" t="str">
        <x:v>Ghi chú</x:v>
      </x:c>
      <x:c r="G6" s="23" t="str">
        <x:v>Điểm (NCV)</x:v>
      </x:c>
    </x:row>
    <x:row r="7" ht="44" customHeight="1">
      <x:c r="A7" s="37" t="str">
        <x:v>C1</x:v>
      </x:c>
      <x:c r="B7" s="29" t="str">
        <x:v>Khi phát hiện mùi gas, cần giữ nguyên trạng thái của các công tắc và thiết bị điện trong khu vực.</x:v>
      </x:c>
      <x:c r="C7" s="29" t="str">
        <x:v>Kiến thức</x:v>
      </x:c>
      <x:c r="D7" s="29" t="str">
        <x:v>Đúng / Sai / Không chắc</x:v>
      </x:c>
      <x:c r="E7" s="40" t="str"/>
      <x:c r="F7" s="29" t="str"/>
      <x:c r="G7" s="44" t="str">
        <x:f>IF(E7="","",IF(E7='Lý do'!$F$18,1,0))</x:f>
      </x:c>
    </x:row>
    <x:row r="8" ht="44" customHeight="1">
      <x:c r="A8" s="37" t="str">
        <x:v>C2</x:v>
      </x:c>
      <x:c r="B8" s="30" t="str">
        <x:v>Có thể bật quạt điện để đẩy nhanh quá trình thoát khí gas khỏi phòng.</x:v>
      </x:c>
      <x:c r="C8" s="30" t="str">
        <x:v>Kiến thức</x:v>
      </x:c>
      <x:c r="D8" s="30" t="str">
        <x:v>Đúng / Sai / Không chắc</x:v>
      </x:c>
      <x:c r="E8" s="40" t="str"/>
      <x:c r="F8" s="30" t="str"/>
      <x:c r="G8" s="44" t="str">
        <x:f>IF(E8="","",IF(E8='Lý do'!$F$19,1,0))</x:f>
      </x:c>
    </x:row>
    <x:row r="9" ht="44" customHeight="1">
      <x:c r="A9" s="37" t="str">
        <x:v>C3</x:v>
      </x:c>
      <x:c r="B9" s="30" t="str">
        <x:v>Có thể dùng điện thoại ngay trong căn phòng đang có mùi gas để gọi người hỗ trợ.</x:v>
      </x:c>
      <x:c r="C9" s="30" t="str">
        <x:v>Kiến thức</x:v>
      </x:c>
      <x:c r="D9" s="30" t="str">
        <x:v>Đúng / Sai / Không chắc</x:v>
      </x:c>
      <x:c r="E9" s="40" t="str"/>
      <x:c r="F9" s="30" t="str"/>
      <x:c r="G9" s="44" t="str">
        <x:f>IF(E9="","",IF(E9='Lý do'!$F$20,1,0))</x:f>
      </x:c>
    </x:row>
    <x:row r="10" ht="44" customHeight="1">
      <x:c r="A10" s="37" t="str">
        <x:v>C4</x:v>
      </x:c>
      <x:c r="B10" s="30" t="str">
        <x:v>LPG rò rỉ có thể tập trung ở vùng thấp do hơi gas nặng hơn không khí.</x:v>
      </x:c>
      <x:c r="C10" s="30" t="str">
        <x:v>Kiến thức</x:v>
      </x:c>
      <x:c r="D10" s="30" t="str">
        <x:v>Đúng / Sai / Không chắc</x:v>
      </x:c>
      <x:c r="E10" s="40" t="str"/>
      <x:c r="F10" s="30" t="str"/>
      <x:c r="G10" s="44" t="str">
        <x:f>IF(E10="","",IF(E10='Lý do'!$F$21,1,0))</x:f>
      </x:c>
    </x:row>
    <x:row r="11" ht="44" customHeight="1">
      <x:c r="A11" s="37" t="str">
        <x:v>C5</x:v>
      </x:c>
      <x:c r="B11" s="30" t="str">
        <x:v>Nếu có thể tiếp cận van bình một cách an toàn, việc khóa van là một bước xử lý phù hợp.</x:v>
      </x:c>
      <x:c r="C11" s="30" t="str">
        <x:v>Kiến thức</x:v>
      </x:c>
      <x:c r="D11" s="30" t="str">
        <x:v>Đúng / Sai / Không chắc</x:v>
      </x:c>
      <x:c r="E11" s="40" t="str"/>
      <x:c r="F11" s="30" t="str"/>
      <x:c r="G11" s="44" t="str">
        <x:f>IF(E11="","",IF(E11='Lý do'!$F$22,1,0))</x:f>
      </x:c>
    </x:row>
    <x:row r="12" ht="44" customHeight="1">
      <x:c r="A12" s="37" t="str">
        <x:v>C6</x:v>
      </x:c>
      <x:c r="B12" s="30" t="str">
        <x:v>Có thể mở cửa bằng tay để thông gió tự nhiên, đồng thời tránh tạo tia lửa điện.</x:v>
      </x:c>
      <x:c r="C12" s="30" t="str">
        <x:v>Kiến thức</x:v>
      </x:c>
      <x:c r="D12" s="30" t="str">
        <x:v>Đúng / Sai / Không chắc</x:v>
      </x:c>
      <x:c r="E12" s="40" t="str"/>
      <x:c r="F12" s="30" t="str"/>
      <x:c r="G12" s="44" t="str">
        <x:f>IF(E12="","",IF(E12='Lý do'!$F$23,1,0))</x:f>
      </x:c>
    </x:row>
    <x:row r="13" ht="44" customHeight="1">
      <x:c r="A13" s="37" t="str">
        <x:v>C7</x:v>
      </x:c>
      <x:c r="B13" s="30" t="str">
        <x:v>Dùng diêm hoặc bật lửa là cách thích hợp để kiểm tra vị trí rò rỉ gas.</x:v>
      </x:c>
      <x:c r="C13" s="30" t="str">
        <x:v>Kiến thức</x:v>
      </x:c>
      <x:c r="D13" s="30" t="str">
        <x:v>Đúng / Sai / Không chắc</x:v>
      </x:c>
      <x:c r="E13" s="40" t="str"/>
      <x:c r="F13" s="30" t="str"/>
      <x:c r="G13" s="44" t="str">
        <x:f>IF(E13="","",IF(E13='Lý do'!$F$24,1,0))</x:f>
      </x:c>
    </x:row>
    <x:row r="14" ht="44" customHeight="1">
      <x:c r="A14" s="37" t="str">
        <x:v>C8</x:v>
      </x:c>
      <x:c r="B14" s="30" t="str">
        <x:v>Khi sự cố không thể xử lý an toàn, cần sơ tán và gọi hỗ trợ từ bên ngoài khu vực nguy hiểm.</x:v>
      </x:c>
      <x:c r="C14" s="30" t="str">
        <x:v>Kiến thức</x:v>
      </x:c>
      <x:c r="D14" s="30" t="str">
        <x:v>Đúng / Sai / Không chắc</x:v>
      </x:c>
      <x:c r="E14" s="40" t="str"/>
      <x:c r="F14" s="30" t="str"/>
      <x:c r="G14" s="44" t="str">
        <x:f>IF(E14="","",IF(E14='Lý do'!$F$25,1,0))</x:f>
      </x:c>
    </x:row>
    <x:row r="15" ht="82" customHeight="1">
      <x:c r="A15" s="37" t="str">
        <x:v>C9</x:v>
      </x:c>
      <x:c r="B15" s="30" t="str">
        <x:v>Trong tình huống chưa có cháy và van bình có thể tiếp cận an toàn, lựa chọn nào phù hợp nhất?</x:v>
      </x:c>
      <x:c r="C15" s="30" t="str">
        <x:v>Tình huống</x:v>
      </x:c>
      <x:c r="D15" s="30" t="str">
        <x:v>A. Bật đèn và quạt
B. Cảnh báo → tránh tia lửa → khóa van nếu an toàn → thông gió tự nhiên
C. Dùng điện thoại cạnh bình gas
D. Chờ gas tự hết</x:v>
      </x:c>
      <x:c r="E15" s="40" t="str"/>
      <x:c r="F15" s="30" t="str"/>
      <x:c r="G15" s="44" t="str">
        <x:f>IF(E15="","",IF(E15='Lý do'!$F$26,1,0))</x:f>
      </x:c>
    </x:row>
    <x:row r="16" ht="82" customHeight="1">
      <x:c r="A16" s="37" t="str">
        <x:v>C10</x:v>
      </x:c>
      <x:c r="B16" s="30" t="str">
        <x:v>Nếu mùi gas rất mạnh và không thể tiếp cận van an toàn, lựa chọn nào phù hợp nhất?</x:v>
      </x:c>
      <x:c r="C16" s="30" t="str">
        <x:v>Tình huống</x:v>
      </x:c>
      <x:c r="D16" s="30" t="str">
        <x:v>A. Tiếp tục ở lại
B. Tìm chỗ rò bằng thiết bị điện
C. Rời khu vực, cảnh báo mọi người và gọi hỗ trợ từ nơi an toàn
D. Đóng kín phòng và theo dõi</x:v>
      </x:c>
      <x:c r="E16" s="40" t="str"/>
      <x:c r="F16" s="30" t="str"/>
      <x:c r="G16" s="44" t="str">
        <x:f>IF(E16="","",IF(E16='Lý do'!$F$27,1,0))</x:f>
      </x:c>
    </x:row>
    <x:row r="18" ht="24" customHeight="1">
      <x:c r="A18" s="47" t="str">
        <x:v>B. MỨC TỰ TIN SAU HUẤN LUYỆN</x:v>
      </x:c>
      <x:c r="B18" s="47"/>
      <x:c r="C18" s="47"/>
      <x:c r="D18" s="47"/>
      <x:c r="E18" s="47"/>
      <x:c r="F18" s="47"/>
      <x:c r="G18" s="47"/>
    </x:row>
    <x:row r="19" ht="30" customHeight="1">
      <x:c r="A19" s="23" t="str">
        <x:v>Mã</x:v>
      </x:c>
      <x:c r="B19" s="23" t="str">
        <x:v>Câu hỏi / nhận định</x:v>
      </x:c>
      <x:c r="C19" s="23" t="str">
        <x:v>Loại dữ liệu</x:v>
      </x:c>
      <x:c r="D19" s="23" t="str">
        <x:v>Phương án / thang đo</x:v>
      </x:c>
      <x:c r="E19" s="23" t="str">
        <x:v>Câu trả lời</x:v>
      </x:c>
      <x:c r="F19" s="23" t="str">
        <x:v>Ghi chú</x:v>
      </x:c>
      <x:c r="G19" s="23" t="str">
        <x:v>Điểm (NCV)</x:v>
      </x:c>
    </x:row>
    <x:row r="20" ht="44" customHeight="1">
      <x:c r="A20" s="37" t="str">
        <x:v>S1</x:v>
      </x:c>
      <x:c r="B20" s="29" t="str">
        <x:v>Tôi tự tin có thể nhận biết những hành động phải tránh khi phát hiện rò rỉ gas.</x:v>
      </x:c>
      <x:c r="C20" s="29" t="str">
        <x:v>Self-efficacy</x:v>
      </x:c>
      <x:c r="D20" s="29" t="str">
        <x:v>1 = Hoàn toàn không tự tin; 5 = Hoàn toàn tự tin</x:v>
      </x:c>
      <x:c r="E20" s="40" t="str"/>
      <x:c r="F20" s="29" t="str"/>
      <x:c r="G20" s="44" t="str">
        <x:f>IF(E20="","",VALUE(E20))</x:f>
      </x:c>
    </x:row>
    <x:row r="21" ht="44" customHeight="1">
      <x:c r="A21" s="37" t="str">
        <x:v>S2</x:v>
      </x:c>
      <x:c r="B21" s="30" t="str">
        <x:v>Tôi tự tin có thể nêu đúng trình tự xử lý sự cố rò rỉ gas.</x:v>
      </x:c>
      <x:c r="C21" s="30" t="str">
        <x:v>Self-efficacy</x:v>
      </x:c>
      <x:c r="D21" s="30" t="str">
        <x:v>1 = Hoàn toàn không tự tin; 5 = Hoàn toàn tự tin</x:v>
      </x:c>
      <x:c r="E21" s="40" t="str"/>
      <x:c r="F21" s="30" t="str"/>
      <x:c r="G21" s="44" t="str">
        <x:f>IF(E21="","",VALUE(E21))</x:f>
      </x:c>
    </x:row>
    <x:row r="22" ht="44" customHeight="1">
      <x:c r="A22" s="37" t="str">
        <x:v>S3</x:v>
      </x:c>
      <x:c r="B22" s="30" t="str">
        <x:v>Tôi tự tin có thể quyết định khi nào nên tự xử lý và khi nào phải rời khỏi khu vực.</x:v>
      </x:c>
      <x:c r="C22" s="30" t="str">
        <x:v>Self-efficacy</x:v>
      </x:c>
      <x:c r="D22" s="30" t="str">
        <x:v>1 = Hoàn toàn không tự tin; 5 = Hoàn toàn tự tin</x:v>
      </x:c>
      <x:c r="E22" s="40" t="str"/>
      <x:c r="F22" s="30" t="str"/>
      <x:c r="G22" s="44" t="str">
        <x:f>IF(E22="","",VALUE(E22))</x:f>
      </x:c>
    </x:row>
    <x:row r="24" ht="24" customHeight="1">
      <x:c r="A24" s="51" t="str">
        <x:v>C. TRIỆU CHỨNG KHÓ CHỊU SAU VR</x:v>
      </x:c>
      <x:c r="B24" s="51"/>
      <x:c r="C24" s="51"/>
      <x:c r="D24" s="51"/>
      <x:c r="E24" s="51"/>
      <x:c r="F24" s="51"/>
      <x:c r="G24" s="51"/>
    </x:row>
    <x:row r="25" ht="30" customHeight="1">
      <x:c r="A25" s="23" t="str">
        <x:v>Mã</x:v>
      </x:c>
      <x:c r="B25" s="23" t="str">
        <x:v>Câu hỏi / nhận định</x:v>
      </x:c>
      <x:c r="C25" s="23" t="str">
        <x:v>Loại dữ liệu</x:v>
      </x:c>
      <x:c r="D25" s="23" t="str">
        <x:v>Phương án / thang đo</x:v>
      </x:c>
      <x:c r="E25" s="23" t="str">
        <x:v>Câu trả lời</x:v>
      </x:c>
      <x:c r="F25" s="23" t="str">
        <x:v>Ghi chú</x:v>
      </x:c>
      <x:c r="G25" s="23" t="str">
        <x:v>Điểm (NCV)</x:v>
      </x:c>
    </x:row>
    <x:row r="26" ht="44" customHeight="1">
      <x:c r="A26" s="37" t="str">
        <x:v>V1</x:v>
      </x:c>
      <x:c r="B26" s="29" t="str">
        <x:v>Sau trải nghiệm, mức độ chóng mặt của bạn là bao nhiêu?</x:v>
      </x:c>
      <x:c r="C26" s="29" t="str">
        <x:v>Triệu chứng VR</x:v>
      </x:c>
      <x:c r="D26" s="29" t="str">
        <x:v>Không có / Nhẹ / Vừa / Nặng / Phải dừng</x:v>
      </x:c>
      <x:c r="E26" s="40" t="str"/>
      <x:c r="F26" s="29" t="str"/>
      <x:c r="G26" s="44" t="str"/>
    </x:row>
    <x:row r="27" ht="44" customHeight="1">
      <x:c r="A27" s="37" t="str">
        <x:v>V2</x:v>
      </x:c>
      <x:c r="B27" s="30" t="str">
        <x:v>Sau trải nghiệm, mức độ buồn nôn của bạn là bao nhiêu?</x:v>
      </x:c>
      <x:c r="C27" s="30" t="str">
        <x:v>Triệu chứng VR</x:v>
      </x:c>
      <x:c r="D27" s="30" t="str">
        <x:v>Không có / Nhẹ / Vừa / Nặng / Phải dừng</x:v>
      </x:c>
      <x:c r="E27" s="40" t="str"/>
      <x:c r="F27" s="30" t="str"/>
      <x:c r="G27" s="44" t="str"/>
    </x:row>
    <x:row r="28" ht="44" customHeight="1">
      <x:c r="A28" s="37" t="str">
        <x:v>V3</x:v>
      </x:c>
      <x:c r="B28" s="30" t="str">
        <x:v>Sau trải nghiệm, mức độ đau đầu của bạn là bao nhiêu?</x:v>
      </x:c>
      <x:c r="C28" s="30" t="str">
        <x:v>Triệu chứng VR</x:v>
      </x:c>
      <x:c r="D28" s="30" t="str">
        <x:v>Không có / Nhẹ / Vừa / Nặng / Phải dừng</x:v>
      </x:c>
      <x:c r="E28" s="40" t="str"/>
      <x:c r="F28" s="30" t="str"/>
      <x:c r="G28" s="44" t="str"/>
    </x:row>
    <x:row r="29" ht="44" customHeight="1">
      <x:c r="A29" s="37" t="str">
        <x:v>V4</x:v>
      </x:c>
      <x:c r="B29" s="30" t="str">
        <x:v>Sau trải nghiệm, mức độ mỏi mắt của bạn là bao nhiêu?</x:v>
      </x:c>
      <x:c r="C29" s="30" t="str">
        <x:v>Triệu chứng VR</x:v>
      </x:c>
      <x:c r="D29" s="30" t="str">
        <x:v>Không có / Nhẹ / Vừa / Nặng / Phải dừng</x:v>
      </x:c>
      <x:c r="E29" s="40" t="str"/>
      <x:c r="F29" s="30" t="str"/>
      <x:c r="G29" s="44" t="str"/>
    </x:row>
    <x:row r="31" ht="24" customHeight="1">
      <x:c r="A31" s="17" t="str">
        <x:v>D. SYSTEM USABILITY SCALE (SUS)</x:v>
      </x:c>
      <x:c r="B31" s="17"/>
      <x:c r="C31" s="17"/>
      <x:c r="D31" s="17"/>
      <x:c r="E31" s="17"/>
      <x:c r="F31" s="17"/>
      <x:c r="G31" s="17"/>
    </x:row>
    <x:row r="32" ht="30" customHeight="1">
      <x:c r="A32" s="23" t="str">
        <x:v>Mã</x:v>
      </x:c>
      <x:c r="B32" s="23" t="str">
        <x:v>Câu hỏi / nhận định</x:v>
      </x:c>
      <x:c r="C32" s="23" t="str">
        <x:v>Loại dữ liệu</x:v>
      </x:c>
      <x:c r="D32" s="23" t="str">
        <x:v>Phương án / thang đo</x:v>
      </x:c>
      <x:c r="E32" s="23" t="str">
        <x:v>Câu trả lời</x:v>
      </x:c>
      <x:c r="F32" s="23" t="str">
        <x:v>Ghi chú</x:v>
      </x:c>
      <x:c r="G32" s="23" t="str">
        <x:v>Điểm (NCV)</x:v>
      </x:c>
    </x:row>
    <x:row r="33" ht="44" customHeight="1">
      <x:c r="A33" s="37" t="str">
        <x:v>SUS1</x:v>
      </x:c>
      <x:c r="B33" s="29" t="str">
        <x:v>Tôi nghĩ rằng tôi muốn sử dụng ứng dụng này thường xuyên.</x:v>
      </x:c>
      <x:c r="C33" s="29" t="str">
        <x:v>SUS</x:v>
      </x:c>
      <x:c r="D33" s="29" t="str">
        <x:v>1 = Hoàn toàn không đồng ý; 5 = Hoàn toàn đồng ý</x:v>
      </x:c>
      <x:c r="E33" s="40" t="str"/>
      <x:c r="F33" s="29" t="str"/>
      <x:c r="G33" s="44" t="str">
        <x:f>IF(E33="","",VALUE(E33)-1)</x:f>
      </x:c>
    </x:row>
    <x:row r="34" ht="44" customHeight="1">
      <x:c r="A34" s="37" t="str">
        <x:v>SUS2</x:v>
      </x:c>
      <x:c r="B34" s="30" t="str">
        <x:v>Tôi thấy ứng dụng phức tạp một cách không cần thiết.</x:v>
      </x:c>
      <x:c r="C34" s="30" t="str">
        <x:v>SUS</x:v>
      </x:c>
      <x:c r="D34" s="30" t="str">
        <x:v>1 = Hoàn toàn không đồng ý; 5 = Hoàn toàn đồng ý</x:v>
      </x:c>
      <x:c r="E34" s="40" t="str"/>
      <x:c r="F34" s="30" t="str"/>
      <x:c r="G34" s="44" t="str">
        <x:f>IF(E34="","",5-VALUE(E34))</x:f>
      </x:c>
    </x:row>
    <x:row r="35" ht="44" customHeight="1">
      <x:c r="A35" s="37" t="str">
        <x:v>SUS3</x:v>
      </x:c>
      <x:c r="B35" s="30" t="str">
        <x:v>Tôi thấy ứng dụng dễ sử dụng.</x:v>
      </x:c>
      <x:c r="C35" s="30" t="str">
        <x:v>SUS</x:v>
      </x:c>
      <x:c r="D35" s="30" t="str">
        <x:v>1 = Hoàn toàn không đồng ý; 5 = Hoàn toàn đồng ý</x:v>
      </x:c>
      <x:c r="E35" s="40" t="str"/>
      <x:c r="F35" s="30" t="str"/>
      <x:c r="G35" s="44" t="str">
        <x:f>IF(E35="","",VALUE(E35)-1)</x:f>
      </x:c>
    </x:row>
    <x:row r="36" ht="44" customHeight="1">
      <x:c r="A36" s="37" t="str">
        <x:v>SUS4</x:v>
      </x:c>
      <x:c r="B36" s="30" t="str">
        <x:v>Tôi nghĩ rằng tôi cần sự hỗ trợ của người có kỹ thuật để có thể sử dụng ứng dụng này.</x:v>
      </x:c>
      <x:c r="C36" s="30" t="str">
        <x:v>SUS</x:v>
      </x:c>
      <x:c r="D36" s="30" t="str">
        <x:v>1 = Hoàn toàn không đồng ý; 5 = Hoàn toàn đồng ý</x:v>
      </x:c>
      <x:c r="E36" s="40" t="str"/>
      <x:c r="F36" s="30" t="str"/>
      <x:c r="G36" s="44" t="str">
        <x:f>IF(E36="","",5-VALUE(E36))</x:f>
      </x:c>
    </x:row>
    <x:row r="37" ht="44" customHeight="1">
      <x:c r="A37" s="37" t="str">
        <x:v>SUS5</x:v>
      </x:c>
      <x:c r="B37" s="30" t="str">
        <x:v>Tôi thấy các chức năng trong ứng dụng được tích hợp tốt.</x:v>
      </x:c>
      <x:c r="C37" s="30" t="str">
        <x:v>SUS</x:v>
      </x:c>
      <x:c r="D37" s="30" t="str">
        <x:v>1 = Hoàn toàn không đồng ý; 5 = Hoàn toàn đồng ý</x:v>
      </x:c>
      <x:c r="E37" s="40" t="str"/>
      <x:c r="F37" s="30" t="str"/>
      <x:c r="G37" s="44" t="str">
        <x:f>IF(E37="","",VALUE(E37)-1)</x:f>
      </x:c>
    </x:row>
    <x:row r="38" ht="44" customHeight="1">
      <x:c r="A38" s="37" t="str">
        <x:v>SUS6</x:v>
      </x:c>
      <x:c r="B38" s="30" t="str">
        <x:v>Tôi thấy ứng dụng có quá nhiều điểm thiếu nhất quán.</x:v>
      </x:c>
      <x:c r="C38" s="30" t="str">
        <x:v>SUS</x:v>
      </x:c>
      <x:c r="D38" s="30" t="str">
        <x:v>1 = Hoàn toàn không đồng ý; 5 = Hoàn toàn đồng ý</x:v>
      </x:c>
      <x:c r="E38" s="40" t="str"/>
      <x:c r="F38" s="30" t="str"/>
      <x:c r="G38" s="44" t="str">
        <x:f>IF(E38="","",5-VALUE(E38))</x:f>
      </x:c>
    </x:row>
    <x:row r="39" ht="44" customHeight="1">
      <x:c r="A39" s="37" t="str">
        <x:v>SUS7</x:v>
      </x:c>
      <x:c r="B39" s="30" t="str">
        <x:v>Tôi nghĩ rằng hầu hết mọi người sẽ học cách sử dụng ứng dụng này rất nhanh.</x:v>
      </x:c>
      <x:c r="C39" s="30" t="str">
        <x:v>SUS</x:v>
      </x:c>
      <x:c r="D39" s="30" t="str">
        <x:v>1 = Hoàn toàn không đồng ý; 5 = Hoàn toàn đồng ý</x:v>
      </x:c>
      <x:c r="E39" s="40" t="str"/>
      <x:c r="F39" s="30" t="str"/>
      <x:c r="G39" s="44" t="str">
        <x:f>IF(E39="","",VALUE(E39)-1)</x:f>
      </x:c>
    </x:row>
    <x:row r="40" ht="44" customHeight="1">
      <x:c r="A40" s="37" t="str">
        <x:v>SUS8</x:v>
      </x:c>
      <x:c r="B40" s="30" t="str">
        <x:v>Tôi thấy ứng dụng rất rườm rà khi sử dụng.</x:v>
      </x:c>
      <x:c r="C40" s="30" t="str">
        <x:v>SUS</x:v>
      </x:c>
      <x:c r="D40" s="30" t="str">
        <x:v>1 = Hoàn toàn không đồng ý; 5 = Hoàn toàn đồng ý</x:v>
      </x:c>
      <x:c r="E40" s="40" t="str"/>
      <x:c r="F40" s="30" t="str"/>
      <x:c r="G40" s="44" t="str">
        <x:f>IF(E40="","",5-VALUE(E40))</x:f>
      </x:c>
    </x:row>
    <x:row r="41" ht="44" customHeight="1">
      <x:c r="A41" s="37" t="str">
        <x:v>SUS9</x:v>
      </x:c>
      <x:c r="B41" s="30" t="str">
        <x:v>Tôi cảm thấy tự tin khi sử dụng ứng dụng.</x:v>
      </x:c>
      <x:c r="C41" s="30" t="str">
        <x:v>SUS</x:v>
      </x:c>
      <x:c r="D41" s="30" t="str">
        <x:v>1 = Hoàn toàn không đồng ý; 5 = Hoàn toàn đồng ý</x:v>
      </x:c>
      <x:c r="E41" s="40" t="str"/>
      <x:c r="F41" s="30" t="str"/>
      <x:c r="G41" s="44" t="str">
        <x:f>IF(E41="","",VALUE(E41)-1)</x:f>
      </x:c>
    </x:row>
    <x:row r="42" ht="44" customHeight="1">
      <x:c r="A42" s="37" t="str">
        <x:v>SUS10</x:v>
      </x:c>
      <x:c r="B42" s="30" t="str">
        <x:v>Tôi cần học nhiều thứ trước khi có thể sử dụng ứng dụng này.</x:v>
      </x:c>
      <x:c r="C42" s="30" t="str">
        <x:v>SUS</x:v>
      </x:c>
      <x:c r="D42" s="30" t="str">
        <x:v>1 = Hoàn toàn không đồng ý; 5 = Hoàn toàn đồng ý</x:v>
      </x:c>
      <x:c r="E42" s="40" t="str"/>
      <x:c r="F42" s="30" t="str"/>
      <x:c r="G42" s="44" t="str">
        <x:f>IF(E42="","",5-VALUE(E42))</x:f>
      </x:c>
    </x:row>
    <x:row r="44" ht="24" customHeight="1">
      <x:c r="A44" s="47" t="str">
        <x:v>E. ĐÁNH GIÁ CHI TIẾT ỨNG DỤNG</x:v>
      </x:c>
      <x:c r="B44" s="47"/>
      <x:c r="C44" s="47"/>
      <x:c r="D44" s="47"/>
      <x:c r="E44" s="47"/>
      <x:c r="F44" s="47"/>
      <x:c r="G44" s="47"/>
    </x:row>
    <x:row r="45" ht="30" customHeight="1">
      <x:c r="A45" s="23" t="str">
        <x:v>Mã</x:v>
      </x:c>
      <x:c r="B45" s="23" t="str">
        <x:v>Câu hỏi / nhận định</x:v>
      </x:c>
      <x:c r="C45" s="23" t="str">
        <x:v>Loại dữ liệu</x:v>
      </x:c>
      <x:c r="D45" s="23" t="str">
        <x:v>Phương án / thang đo</x:v>
      </x:c>
      <x:c r="E45" s="23" t="str">
        <x:v>Câu trả lời</x:v>
      </x:c>
      <x:c r="F45" s="23" t="str">
        <x:v>Ghi chú</x:v>
      </x:c>
      <x:c r="G45" s="23" t="str">
        <x:v>Điểm (NCV)</x:v>
      </x:c>
    </x:row>
    <x:row r="46" ht="44" customHeight="1">
      <x:c r="A46" s="37" t="str">
        <x:v>Q1</x:v>
      </x:c>
      <x:c r="B46" s="29" t="str">
        <x:v>Tôi hiểu rõ mục tiêu và nhiệm vụ cần thực hiện trong tình huống.</x:v>
      </x:c>
      <x:c r="C46" s="29" t="str">
        <x:v>Hiểu nhiệm vụ</x:v>
      </x:c>
      <x:c r="D46" s="29" t="str">
        <x:v>1 = Hoàn toàn không đồng ý; 5 = Hoàn toàn đồng ý</x:v>
      </x:c>
      <x:c r="E46" s="40" t="str"/>
      <x:c r="F46" s="29" t="str"/>
      <x:c r="G46" s="44" t="str"/>
    </x:row>
    <x:row r="47" ht="44" customHeight="1">
      <x:c r="A47" s="37" t="str">
        <x:v>Q2</x:v>
      </x:c>
      <x:c r="B47" s="30" t="str">
        <x:v>Tôi dễ dàng cầm, thả và sử dụng các vật thể trong VR.</x:v>
      </x:c>
      <x:c r="C47" s="30" t="str">
        <x:v>Tương tác</x:v>
      </x:c>
      <x:c r="D47" s="30" t="str">
        <x:v>1 = Hoàn toàn không đồng ý; 5 = Hoàn toàn đồng ý</x:v>
      </x:c>
      <x:c r="E47" s="40" t="str"/>
      <x:c r="F47" s="30" t="str"/>
      <x:c r="G47" s="44" t="str"/>
    </x:row>
    <x:row r="48" ht="44" customHeight="1">
      <x:c r="A48" s="37" t="str">
        <x:v>Q3</x:v>
      </x:c>
      <x:c r="B48" s="30" t="str">
        <x:v>Âm thanh hướng dẫn và cảnh báo đủ rõ để tôi biết cần làm gì.</x:v>
      </x:c>
      <x:c r="C48" s="30" t="str">
        <x:v>Hướng dẫn</x:v>
      </x:c>
      <x:c r="D48" s="30" t="str">
        <x:v>1 = Hoàn toàn không đồng ý; 5 = Hoàn toàn đồng ý</x:v>
      </x:c>
      <x:c r="E48" s="40" t="str"/>
      <x:c r="F48" s="30" t="str"/>
      <x:c r="G48" s="44" t="str"/>
    </x:row>
    <x:row r="49" ht="44" customHeight="1">
      <x:c r="A49" s="37" t="str">
        <x:v>Q4</x:v>
      </x:c>
      <x:c r="B49" s="30" t="str">
        <x:v>Phản hồi của hệ thống giúp tôi nhận biết thao tác đã thành công hay chưa.</x:v>
      </x:c>
      <x:c r="C49" s="30" t="str">
        <x:v>Phản hồi</x:v>
      </x:c>
      <x:c r="D49" s="30" t="str">
        <x:v>1 = Hoàn toàn không đồng ý; 5 = Hoàn toàn đồng ý</x:v>
      </x:c>
      <x:c r="E49" s="40" t="str"/>
      <x:c r="F49" s="30" t="str"/>
      <x:c r="G49" s="44" t="str"/>
    </x:row>
    <x:row r="50" ht="44" customHeight="1">
      <x:c r="A50" s="37" t="str">
        <x:v>Q5</x:v>
      </x:c>
      <x:c r="B50" s="30" t="str">
        <x:v>Ứng dụng phản hồi đủ nhanh và hoạt động ổn định trong suốt phiên trải nghiệm.</x:v>
      </x:c>
      <x:c r="C50" s="30" t="str">
        <x:v>Hiệu năng</x:v>
      </x:c>
      <x:c r="D50" s="30" t="str">
        <x:v>1 = Hoàn toàn không đồng ý; 5 = Hoàn toàn đồng ý</x:v>
      </x:c>
      <x:c r="E50" s="40" t="str"/>
      <x:c r="F50" s="30" t="str"/>
      <x:c r="G50" s="44" t="str"/>
    </x:row>
    <x:row r="51" ht="44" customHeight="1">
      <x:c r="A51" s="37" t="str">
        <x:v>Q6</x:v>
      </x:c>
      <x:c r="B51" s="30" t="str">
        <x:v>Trạng thái khí gas, cháy và hậu quả trong mô phỏng thay đổi hợp lý theo hành động của tôi.</x:v>
      </x:c>
      <x:c r="C51" s="30" t="str">
        <x:v>Độ hợp lý</x:v>
      </x:c>
      <x:c r="D51" s="30" t="str">
        <x:v>1 = Hoàn toàn không đồng ý; 5 = Hoàn toàn đồng ý</x:v>
      </x:c>
      <x:c r="E51" s="40" t="str"/>
      <x:c r="F51" s="30" t="str"/>
      <x:c r="G51" s="44" t="str"/>
    </x:row>
    <x:row r="52" ht="44" customHeight="1">
      <x:c r="A52" s="37" t="str">
        <x:v>Q7</x:v>
      </x:c>
      <x:c r="B52" s="30" t="str">
        <x:v>Phần điểm số hoặc xem lại kết quả giúp tôi nhận biết những hành động đúng và chưa đúng.</x:v>
      </x:c>
      <x:c r="C52" s="30" t="str">
        <x:v>Phản hồi học tập</x:v>
      </x:c>
      <x:c r="D52" s="30" t="str">
        <x:v>1 = Hoàn toàn không đồng ý; 5 = Hoàn toàn đồng ý</x:v>
      </x:c>
      <x:c r="E52" s="40" t="str"/>
      <x:c r="F52" s="30" t="str"/>
      <x:c r="G52" s="44" t="str"/>
    </x:row>
    <x:row r="53" ht="44" customHeight="1">
      <x:c r="A53" s="37" t="str">
        <x:v>Q8</x:v>
      </x:c>
      <x:c r="B53" s="30" t="str">
        <x:v>Thời lượng của phiên trải nghiệm là phù hợp với một buổi hướng dẫn.</x:v>
      </x:c>
      <x:c r="C53" s="30" t="str">
        <x:v>Thời lượng</x:v>
      </x:c>
      <x:c r="D53" s="30" t="str">
        <x:v>1 = Hoàn toàn không đồng ý; 5 = Hoàn toàn đồng ý</x:v>
      </x:c>
      <x:c r="E53" s="40" t="str"/>
      <x:c r="F53" s="30" t="str"/>
      <x:c r="G53" s="44" t="str"/>
    </x:row>
    <x:row r="54" ht="44" customHeight="1">
      <x:c r="A54" s="37" t="str">
        <x:v>Q9</x:v>
      </x:c>
      <x:c r="B54" s="30" t="str">
        <x:v>Ứng dụng là một công cụ hữu ích để hỗ trợ học cách xử lý tình huống rò rỉ gas.</x:v>
      </x:c>
      <x:c r="C54" s="30" t="str">
        <x:v>Giá trị huấn luyện</x:v>
      </x:c>
      <x:c r="D54" s="30" t="str">
        <x:v>1 = Hoàn toàn không đồng ý; 5 = Hoàn toàn đồng ý</x:v>
      </x:c>
      <x:c r="E54" s="40" t="str"/>
      <x:c r="F54" s="30" t="str"/>
      <x:c r="G54" s="44" t="str"/>
    </x:row>
    <x:row r="55" ht="44" customHeight="1">
      <x:c r="A55" s="37" t="str">
        <x:v>Q10</x:v>
      </x:c>
      <x:c r="B55" s="30" t="str">
        <x:v>Tôi sẵn sàng tham gia một buổi huấn luyện khác sử dụng ứng dụng này.</x:v>
      </x:c>
      <x:c r="C55" s="30" t="str">
        <x:v>Chấp nhận</x:v>
      </x:c>
      <x:c r="D55" s="30" t="str">
        <x:v>1 = Hoàn toàn không đồng ý; 5 = Hoàn toàn đồng ý</x:v>
      </x:c>
      <x:c r="E55" s="40" t="str"/>
      <x:c r="F55" s="30" t="str"/>
      <x:c r="G55" s="44" t="str"/>
    </x:row>
    <x:row r="57" ht="24" customHeight="1">
      <x:c r="A57" s="54" t="str">
        <x:v>F. DỮ LIỆU QUAN SÁT — DÀNH CHO NHÀ NGHIÊN CỨU</x:v>
      </x:c>
      <x:c r="B57" s="54"/>
      <x:c r="C57" s="54"/>
      <x:c r="D57" s="54"/>
      <x:c r="E57" s="54"/>
      <x:c r="F57" s="54"/>
      <x:c r="G57" s="54"/>
    </x:row>
    <x:row r="58" ht="30" customHeight="1">
      <x:c r="A58" s="23" t="str">
        <x:v>Mã</x:v>
      </x:c>
      <x:c r="B58" s="23" t="str">
        <x:v>Câu hỏi / nhận định</x:v>
      </x:c>
      <x:c r="C58" s="23" t="str">
        <x:v>Loại dữ liệu</x:v>
      </x:c>
      <x:c r="D58" s="23" t="str">
        <x:v>Phương án / thang đo</x:v>
      </x:c>
      <x:c r="E58" s="23" t="str">
        <x:v>Câu trả lời</x:v>
      </x:c>
      <x:c r="F58" s="23" t="str">
        <x:v>Ghi chú</x:v>
      </x:c>
      <x:c r="G58" s="23" t="str">
        <x:v>Điểm (NCV)</x:v>
      </x:c>
    </x:row>
    <x:row r="59" ht="44" customHeight="1">
      <x:c r="A59" s="37" t="str">
        <x:v>O1</x:v>
      </x:c>
      <x:c r="B59" s="29" t="str">
        <x:v>Kết quả hoàn thành tình huống</x:v>
      </x:c>
      <x:c r="C59" s="29" t="str">
        <x:v>Quan sát</x:v>
      </x:c>
      <x:c r="D59" s="29" t="str">
        <x:v>Nhà nghiên cứu ghi</x:v>
      </x:c>
      <x:c r="E59" s="40" t="str"/>
      <x:c r="F59" s="29" t="str"/>
      <x:c r="G59" s="44" t="str"/>
    </x:row>
    <x:row r="60" ht="44" customHeight="1">
      <x:c r="A60" s="37" t="str">
        <x:v>O2</x:v>
      </x:c>
      <x:c r="B60" s="30" t="str">
        <x:v>Thời gian hoàn thành tình huống (giây)</x:v>
      </x:c>
      <x:c r="C60" s="30" t="str">
        <x:v>Số</x:v>
      </x:c>
      <x:c r="D60" s="30" t="str">
        <x:v>Nhập số giây</x:v>
      </x:c>
      <x:c r="E60" s="40" t="str"/>
      <x:c r="F60" s="30" t="str"/>
      <x:c r="G60" s="44" t="str"/>
    </x:row>
    <x:row r="61" ht="44" customHeight="1">
      <x:c r="A61" s="37" t="str">
        <x:v>O3</x:v>
      </x:c>
      <x:c r="B61" s="30" t="str">
        <x:v>Số lần người hướng dẫn phải hỗ trợ hoặc nhắc thao tác</x:v>
      </x:c>
      <x:c r="C61" s="30" t="str">
        <x:v>Số</x:v>
      </x:c>
      <x:c r="D61" s="30" t="str">
        <x:v>Nhập số lần</x:v>
      </x:c>
      <x:c r="E61" s="40" t="str"/>
      <x:c r="F61" s="30" t="str"/>
      <x:c r="G61" s="44" t="str"/>
    </x:row>
    <x:row r="62" ht="44" customHeight="1">
      <x:c r="A62" s="37" t="str">
        <x:v>O4</x:v>
      </x:c>
      <x:c r="B62" s="30" t="str">
        <x:v>Số lỗi an toàn nghiêm trọng được quan sát</x:v>
      </x:c>
      <x:c r="C62" s="30" t="str">
        <x:v>Số</x:v>
      </x:c>
      <x:c r="D62" s="30" t="str">
        <x:v>Nhập số lỗi</x:v>
      </x:c>
      <x:c r="E62" s="40" t="str"/>
      <x:c r="F62" s="30" t="str"/>
      <x:c r="G62" s="44" t="str"/>
    </x:row>
    <x:row r="63" ht="44" customHeight="1">
      <x:c r="A63" s="37" t="str">
        <x:v>O5</x:v>
      </x:c>
      <x:c r="B63" s="30" t="str">
        <x:v>Mức độ lỗi kỹ thuật ảnh hưởng đến phiên trải nghiệm</x:v>
      </x:c>
      <x:c r="C63" s="30" t="str">
        <x:v>Quan sát</x:v>
      </x:c>
      <x:c r="D63" s="30" t="str">
        <x:v>Không có / Nhẹ / Vừa / Nghiêm trọng</x:v>
      </x:c>
      <x:c r="E63" s="40" t="str"/>
      <x:c r="F63" s="30" t="str"/>
      <x:c r="G63" s="44" t="str"/>
    </x:row>
    <x:row r="64" ht="68" customHeight="1">
      <x:c r="A64" s="37" t="str">
        <x:v>O6</x:v>
      </x:c>
      <x:c r="B64" s="30" t="str">
        <x:v>Mô tả lỗi thao tác, lỗi an toàn hoặc lỗi kỹ thuật đáng chú ý</x:v>
      </x:c>
      <x:c r="C64" s="30" t="str">
        <x:v>Ghi chú</x:v>
      </x:c>
      <x:c r="D64" s="30" t="str">
        <x:v>Nhà nghiên cứu ghi</x:v>
      </x:c>
      <x:c r="E64" s="40" t="str"/>
      <x:c r="F64" s="30" t="str"/>
      <x:c r="G64" s="44" t="str"/>
    </x:row>
    <x:row r="66" ht="24" customHeight="1">
      <x:c r="A66" s="51" t="str">
        <x:v>G. CÂU HỎI PHỎNG VẤN MỞ</x:v>
      </x:c>
      <x:c r="B66" s="51"/>
      <x:c r="C66" s="51"/>
      <x:c r="D66" s="51"/>
      <x:c r="E66" s="51"/>
      <x:c r="F66" s="51"/>
      <x:c r="G66" s="51"/>
    </x:row>
    <x:row r="67" ht="30" customHeight="1">
      <x:c r="A67" s="23" t="str">
        <x:v>Mã</x:v>
      </x:c>
      <x:c r="B67" s="23" t="str">
        <x:v>Câu hỏi / nhận định</x:v>
      </x:c>
      <x:c r="C67" s="23" t="str">
        <x:v>Loại dữ liệu</x:v>
      </x:c>
      <x:c r="D67" s="23" t="str">
        <x:v>Phương án / thang đo</x:v>
      </x:c>
      <x:c r="E67" s="23" t="str">
        <x:v>Câu trả lời</x:v>
      </x:c>
      <x:c r="F67" s="23" t="str">
        <x:v>Ghi chú</x:v>
      </x:c>
      <x:c r="G67" s="23" t="str">
        <x:v>Điểm (NCV)</x:v>
      </x:c>
    </x:row>
    <x:row r="68" ht="68" customHeight="1">
      <x:c r="A68" s="37" t="str">
        <x:v>I1</x:v>
      </x:c>
      <x:c r="B68" s="29" t="str">
        <x:v>Phần nào của ứng dụng hữu ích nhất đối với việc học cách xử lý sự cố? Vì sao?</x:v>
      </x:c>
      <x:c r="C68" s="29" t="str">
        <x:v>Phỏng vấn mở</x:v>
      </x:c>
      <x:c r="D68" s="29" t="str">
        <x:v>Ghi nguyên ý người tham gia</x:v>
      </x:c>
      <x:c r="E68" s="40" t="str"/>
      <x:c r="F68" s="29" t="str"/>
      <x:c r="G68" s="44" t="str"/>
    </x:row>
    <x:row r="69" ht="68" customHeight="1">
      <x:c r="A69" s="37" t="str">
        <x:v>I2</x:v>
      </x:c>
      <x:c r="B69" s="30" t="str">
        <x:v>Trong quá trình trải nghiệm, điều gì khiến bạn khó hiểu hoặc mất nhiều thời gian nhất?</x:v>
      </x:c>
      <x:c r="C69" s="30" t="str">
        <x:v>Phỏng vấn mở</x:v>
      </x:c>
      <x:c r="D69" s="30" t="str">
        <x:v>Ghi nguyên ý người tham gia</x:v>
      </x:c>
      <x:c r="E69" s="40" t="str"/>
      <x:c r="F69" s="30" t="str"/>
      <x:c r="G69" s="44" t="str"/>
    </x:row>
    <x:row r="70" ht="68" customHeight="1">
      <x:c r="A70" s="37" t="str">
        <x:v>I3</x:v>
      </x:c>
      <x:c r="B70" s="30" t="str">
        <x:v>Có thao tác, vật thể hoặc tính năng nào không hoạt động như bạn mong đợi không? Hãy mô tả tình huống cụ thể.</x:v>
      </x:c>
      <x:c r="C70" s="30" t="str">
        <x:v>Phỏng vấn mở</x:v>
      </x:c>
      <x:c r="D70" s="30" t="str">
        <x:v>Ghi nguyên ý người tham gia</x:v>
      </x:c>
      <x:c r="E70" s="40" t="str"/>
      <x:c r="F70" s="30" t="str"/>
      <x:c r="G70" s="44" t="str"/>
    </x:row>
    <x:row r="71" ht="68" customHeight="1">
      <x:c r="A71" s="37" t="str">
        <x:v>I4</x:v>
      </x:c>
      <x:c r="B71" s="30" t="str">
        <x:v>Có hướng dẫn, âm thanh hoặc phản hồi nào chưa rõ ràng? Bạn muốn chúng được thay đổi như thế nào?</x:v>
      </x:c>
      <x:c r="C71" s="30" t="str">
        <x:v>Phỏng vấn mở</x:v>
      </x:c>
      <x:c r="D71" s="30" t="str">
        <x:v>Ghi nguyên ý người tham gia</x:v>
      </x:c>
      <x:c r="E71" s="40" t="str"/>
      <x:c r="F71" s="30" t="str"/>
      <x:c r="G71" s="44" t="str"/>
    </x:row>
    <x:row r="72" ht="68" customHeight="1">
      <x:c r="A72" s="37" t="str">
        <x:v>I5</x:v>
      </x:c>
      <x:c r="B72" s="30" t="str">
        <x:v>Chi tiết nào trong mô phỏng khiến bạn cảm thấy chưa giống hoặc chưa phù hợp với tình huống thực tế?</x:v>
      </x:c>
      <x:c r="C72" s="30" t="str">
        <x:v>Phỏng vấn mở</x:v>
      </x:c>
      <x:c r="D72" s="30" t="str">
        <x:v>Nếu chưa từng huấn luyện thực tế, ghi rõ</x:v>
      </x:c>
      <x:c r="E72" s="40" t="str"/>
      <x:c r="F72" s="30" t="str"/>
      <x:c r="G72" s="44" t="str"/>
    </x:row>
    <x:row r="73" ht="68" customHeight="1">
      <x:c r="A73" s="37" t="str">
        <x:v>I6</x:v>
      </x:c>
      <x:c r="B73" s="30" t="str">
        <x:v>Nếu chỉ được sửa một vấn đề trước phiên bản tiếp theo, bạn muốn ưu tiên sửa điều gì?</x:v>
      </x:c>
      <x:c r="C73" s="30" t="str">
        <x:v>Phỏng vấn mở</x:v>
      </x:c>
      <x:c r="D73" s="30" t="str">
        <x:v>Ghi một ưu tiên chính</x:v>
      </x:c>
      <x:c r="E73" s="40" t="str"/>
      <x:c r="F73" s="30" t="str"/>
      <x:c r="G73" s="44" t="str"/>
    </x:row>
    <x:row r="74" ht="68" customHeight="1">
      <x:c r="A74" s="37" t="str">
        <x:v>I7</x:v>
      </x:c>
      <x:c r="B74" s="30" t="str">
        <x:v>Bạn mong muốn ứng dụng bổ sung tính năng, tình huống hoặc loại phản hồi nào?</x:v>
      </x:c>
      <x:c r="C74" s="30" t="str">
        <x:v>Phỏng vấn mở</x:v>
      </x:c>
      <x:c r="D74" s="30" t="str">
        <x:v>Có thể nêu nhiều đề xuất</x:v>
      </x:c>
      <x:c r="E74" s="40" t="str"/>
      <x:c r="F74" s="30" t="str"/>
      <x:c r="G74" s="44" t="str"/>
    </x:row>
    <x:row r="75" ht="68" customHeight="1">
      <x:c r="A75" s="37" t="str">
        <x:v>I8</x:v>
      </x:c>
      <x:c r="B75" s="30" t="str">
        <x:v>Bạn còn góp ý nào khác để ứng dụng dễ sử dụng hoặc hỗ trợ huấn luyện tốt hơn không?</x:v>
      </x:c>
      <x:c r="C75" s="30" t="str">
        <x:v>Phỏng vấn mở</x:v>
      </x:c>
      <x:c r="D75" s="30" t="str">
        <x:v>Tùy chọn</x:v>
      </x:c>
      <x:c r="E75" s="40" t="str"/>
      <x:c r="F75" s="30" t="str"/>
      <x:c r="G75" s="44" t="str"/>
    </x:row>
  </x:sheetData>
  <x:mergeCells>
    <x:mergeCell ref="A1:G1"/>
    <x:mergeCell ref="A2:G2"/>
    <x:mergeCell ref="A5:G5"/>
    <x:mergeCell ref="A18:G18"/>
    <x:mergeCell ref="A24:G24"/>
    <x:mergeCell ref="A31:G31"/>
    <x:mergeCell ref="A44:G44"/>
    <x:mergeCell ref="A57:G57"/>
    <x:mergeCell ref="A66:G66"/>
  </x:mergeCells>
  <x:conditionalFormatting sqref="E7:E16">
    <x:cfRule type="containsText" dxfId="1" priority="1" operator="containsText" text="Không chắc"/>
  </x:conditionalFormatting>
  <x:conditionalFormatting sqref="E26:E29">
    <x:cfRule type="containsText" dxfId="2" priority="2" operator="containsText" text="Nặng"/>
    <x:cfRule type="containsText" dxfId="3" priority="3" operator="containsText" text="Phải dừng"/>
  </x:conditionalFormatting>
  <x:dataValidations count="40">
    <x:dataValidation type="list" sqref="E7">
      <x:formula1>"Đúng,Sai,Không chắc"</x:formula1>
    </x:dataValidation>
    <x:dataValidation type="list" sqref="E8">
      <x:formula1>"Đúng,Sai,Không chắc"</x:formula1>
    </x:dataValidation>
    <x:dataValidation type="list" sqref="E9">
      <x:formula1>"Đúng,Sai,Không chắc"</x:formula1>
    </x:dataValidation>
    <x:dataValidation type="list" sqref="E10">
      <x:formula1>"Đúng,Sai,Không chắc"</x:formula1>
    </x:dataValidation>
    <x:dataValidation type="list" sqref="E11">
      <x:formula1>"Đúng,Sai,Không chắc"</x:formula1>
    </x:dataValidation>
    <x:dataValidation type="list" sqref="E12">
      <x:formula1>"Đúng,Sai,Không chắc"</x:formula1>
    </x:dataValidation>
    <x:dataValidation type="list" sqref="E13">
      <x:formula1>"Đúng,Sai,Không chắc"</x:formula1>
    </x:dataValidation>
    <x:dataValidation type="list" sqref="E14">
      <x:formula1>"Đúng,Sai,Không chắc"</x:formula1>
    </x:dataValidation>
    <x:dataValidation type="list" sqref="E15">
      <x:formula1>"A,B,C,D"</x:formula1>
    </x:dataValidation>
    <x:dataValidation type="list" sqref="E16">
      <x:formula1>"A,B,C,D"</x:formula1>
    </x:dataValidation>
    <x:dataValidation type="list" sqref="E20">
      <x:formula1>"1,2,3,4,5"</x:formula1>
    </x:dataValidation>
    <x:dataValidation type="list" sqref="E21">
      <x:formula1>"1,2,3,4,5"</x:formula1>
    </x:dataValidation>
    <x:dataValidation type="list" sqref="E22">
      <x:formula1>"1,2,3,4,5"</x:formula1>
    </x:dataValidation>
    <x:dataValidation type="list" sqref="E26">
      <x:formula1>"Không có,Nhẹ,Vừa,Nặng,Phải dừng"</x:formula1>
    </x:dataValidation>
    <x:dataValidation type="list" sqref="E27">
      <x:formula1>"Không có,Nhẹ,Vừa,Nặng,Phải dừng"</x:formula1>
    </x:dataValidation>
    <x:dataValidation type="list" sqref="E28">
      <x:formula1>"Không có,Nhẹ,Vừa,Nặng,Phải dừng"</x:formula1>
    </x:dataValidation>
    <x:dataValidation type="list" sqref="E29">
      <x:formula1>"Không có,Nhẹ,Vừa,Nặng,Phải dừng"</x:formula1>
    </x:dataValidation>
    <x:dataValidation type="list" sqref="E33">
      <x:formula1>"1,2,3,4,5"</x:formula1>
    </x:dataValidation>
    <x:dataValidation type="list" sqref="E34">
      <x:formula1>"1,2,3,4,5"</x:formula1>
    </x:dataValidation>
    <x:dataValidation type="list" sqref="E35">
      <x:formula1>"1,2,3,4,5"</x:formula1>
    </x:dataValidation>
    <x:dataValidation type="list" sqref="E36">
      <x:formula1>"1,2,3,4,5"</x:formula1>
    </x:dataValidation>
    <x:dataValidation type="list" sqref="E37">
      <x:formula1>"1,2,3,4,5"</x:formula1>
    </x:dataValidation>
    <x:dataValidation type="list" sqref="E38">
      <x:formula1>"1,2,3,4,5"</x:formula1>
    </x:dataValidation>
    <x:dataValidation type="list" sqref="E39">
      <x:formula1>"1,2,3,4,5"</x:formula1>
    </x:dataValidation>
    <x:dataValidation type="list" sqref="E40">
      <x:formula1>"1,2,3,4,5"</x:formula1>
    </x:dataValidation>
    <x:dataValidation type="list" sqref="E41">
      <x:formula1>"1,2,3,4,5"</x:formula1>
    </x:dataValidation>
    <x:dataValidation type="list" sqref="E42">
      <x:formula1>"1,2,3,4,5"</x:formula1>
    </x:dataValidation>
    <x:dataValidation type="list" sqref="E46">
      <x:formula1>"1,2,3,4,5"</x:formula1>
    </x:dataValidation>
    <x:dataValidation type="list" sqref="E47">
      <x:formula1>"1,2,3,4,5"</x:formula1>
    </x:dataValidation>
    <x:dataValidation type="list" sqref="E48">
      <x:formula1>"1,2,3,4,5"</x:formula1>
    </x:dataValidation>
    <x:dataValidation type="list" sqref="E49">
      <x:formula1>"1,2,3,4,5"</x:formula1>
    </x:dataValidation>
    <x:dataValidation type="list" sqref="E50">
      <x:formula1>"1,2,3,4,5"</x:formula1>
    </x:dataValidation>
    <x:dataValidation type="list" sqref="E51">
      <x:formula1>"1,2,3,4,5"</x:formula1>
    </x:dataValidation>
    <x:dataValidation type="list" sqref="E52">
      <x:formula1>"1,2,3,4,5"</x:formula1>
    </x:dataValidation>
    <x:dataValidation type="list" sqref="E53">
      <x:formula1>"1,2,3,4,5"</x:formula1>
    </x:dataValidation>
    <x:dataValidation type="list" sqref="E54">
      <x:formula1>"1,2,3,4,5"</x:formula1>
    </x:dataValidation>
    <x:dataValidation type="list" sqref="E55">
      <x:formula1>"1,2,3,4,5"</x:formula1>
    </x:dataValidation>
    <x:dataValidation type="list" sqref="E59">
      <x:formula1>"Hoàn thành độc lập,Hoàn thành có hỗ trợ,Không hoàn thành,Dừng vì khó chịu,Dừng vì lỗi kỹ thuật"</x:formula1>
    </x:dataValidation>
    <x:dataValidation type="list" sqref="E63">
      <x:formula1>"Không có,Nhẹ,Vừa,Nghiêm trọng"</x:formula1>
    </x:dataValidation>
    <x:dataValidation type="whole" operator="between" sqref="E60:E62">
      <x:formula1>0</x:formula1>
      <x:formula2>9999</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32" hidden="0" customWidth="1"/>
    <x:col min="4" max="4" width="52" hidden="0" customWidth="1"/>
    <x:col min="5" max="5" width="46" hidden="0" customWidth="1"/>
    <x:col min="6" max="6" width="23" hidden="0" customWidth="1"/>
  </x:cols>
  <x:sheetData>
    <x:row r="1" ht="32" customHeight="1">
      <x:c r="A1" s="4" t="str">
        <x:v>BẢNG ĐỐI CHIẾU CÂU HỎI VÀ MỤC TIÊU ĐÁNH GIÁ</x:v>
      </x:c>
      <x:c r="B1" s="4"/>
      <x:c r="C1" s="4"/>
      <x:c r="D1" s="4"/>
      <x:c r="E1" s="4"/>
      <x:c r="F1" s="4"/>
    </x:row>
    <x:row r="2" ht="34" customHeight="1">
      <x:c r="A2" s="8" t="str">
        <x:v>Sheet dành cho nhà nghiên cứu: giải thích biến đo, cách sử dụng dữ liệu và đáp án chấm kiến thức.</x:v>
      </x:c>
      <x:c r="B2" s="8"/>
      <x:c r="C2" s="8"/>
      <x:c r="D2" s="8"/>
      <x:c r="E2" s="8"/>
      <x:c r="F2" s="8"/>
    </x:row>
    <x:row r="4" ht="32" customHeight="1">
      <x:c r="A4" s="67" t="str">
        <x:v>Phiếu / nhóm</x:v>
      </x:c>
      <x:c r="B4" s="67" t="str">
        <x:v>Mã</x:v>
      </x:c>
      <x:c r="C4" s="67" t="str">
        <x:v>Nội dung được đo</x:v>
      </x:c>
      <x:c r="D4" s="67" t="str">
        <x:v>Lý do sử dụng</x:v>
      </x:c>
      <x:c r="E4" s="67" t="str">
        <x:v>Cách dùng khi phân tích</x:v>
      </x:c>
      <x:c r="F4" s="67" t="str">
        <x:v>Đáp án / ghi chú</x:v>
      </x:c>
    </x:row>
    <x:row r="5" ht="48" customHeight="1">
      <x:c r="A5" s="31" t="str">
        <x:v>Pre-test</x:v>
      </x:c>
      <x:c r="B5" s="31" t="str">
        <x:v>P1</x:v>
      </x:c>
      <x:c r="C5" s="29" t="str">
        <x:v>Kinh nghiệm VR</x:v>
      </x:c>
      <x:c r="D5" s="29" t="str">
        <x:v>Kinh nghiệm VR có thể ảnh hưởng tốc độ học thao tác.</x:v>
      </x:c>
      <x:c r="E5" s="29" t="str">
        <x:v>Dùng để mô tả mẫu và kiểm tra khác biệt giữa người mới/người đã quen VR.</x:v>
      </x:c>
      <x:c r="F5" s="68" t="str">
        <x:v>Không chấm điểm</x:v>
      </x:c>
    </x:row>
    <x:row r="6" ht="48" customHeight="1">
      <x:c r="A6" s="32" t="str">
        <x:v>Pre-test</x:v>
      </x:c>
      <x:c r="B6" s="32" t="str">
        <x:v>P2–P3</x:v>
      </x:c>
      <x:c r="C6" s="30" t="str">
        <x:v>Kinh nghiệm PCCC và rò rỉ gas</x:v>
      </x:c>
      <x:c r="D6" s="30" t="str">
        <x:v>Kiến thức hoặc huấn luyện trước đó có thể làm điểm ban đầu cao hơn.</x:v>
      </x:c>
      <x:c r="E6" s="30" t="str">
        <x:v>Biến nền; cân nhắc khi giải thích knowledge gain.</x:v>
      </x:c>
      <x:c r="F6" s="69" t="str">
        <x:v>Không chấm điểm</x:v>
      </x:c>
    </x:row>
    <x:row r="7" ht="48" customHeight="1">
      <x:c r="A7" s="32" t="str">
        <x:v>Pre-test</x:v>
      </x:c>
      <x:c r="B7" s="32" t="str">
        <x:v>P4a–P4c</x:v>
      </x:c>
      <x:c r="C7" s="30" t="str">
        <x:v>Nguy cơ và triệu chứng khó chịu trước VR</x:v>
      </x:c>
      <x:c r="D7" s="30" t="str">
        <x:v>Cần phân biệt triệu chứng có sẵn với triệu chứng phát sinh sau VR.</x:v>
      </x:c>
      <x:c r="E7" s="30" t="str">
        <x:v>Đối chiếu với V1–V4 và ghi nhận trường hợp phải dừng.</x:v>
      </x:c>
      <x:c r="F7" s="69" t="str">
        <x:v>Không chấm điểm</x:v>
      </x:c>
    </x:row>
    <x:row r="8" ht="48" customHeight="1">
      <x:c r="A8" s="32" t="str">
        <x:v>Pre-test</x:v>
      </x:c>
      <x:c r="B8" s="32" t="str">
        <x:v>C1</x:v>
      </x:c>
      <x:c r="C8" s="30" t="str">
        <x:v>Không sử dụng thiết bị điện khi có rò rỉ gas</x:v>
      </x:c>
      <x:c r="D8" s="30" t="str">
        <x:v>Đo nhận biết nguy cơ tia lửa điện.</x:v>
      </x:c>
      <x:c r="E8" s="30" t="str">
        <x:v>1 điểm nếu đúng.</x:v>
      </x:c>
      <x:c r="F8" s="69" t="str">
        <x:v>Sai</x:v>
      </x:c>
    </x:row>
    <x:row r="9" ht="48" customHeight="1">
      <x:c r="A9" s="32" t="str">
        <x:v>Pre-test</x:v>
      </x:c>
      <x:c r="B9" s="32" t="str">
        <x:v>C2</x:v>
      </x:c>
      <x:c r="C9" s="30" t="str">
        <x:v>Không dùng điện thoại trong vùng nguy hiểm</x:v>
      </x:c>
      <x:c r="D9" s="30" t="str">
        <x:v>Đo nhận biết nguồn phát tia lửa tiềm ẩn.</x:v>
      </x:c>
      <x:c r="E9" s="30" t="str">
        <x:v>1 điểm nếu đúng.</x:v>
      </x:c>
      <x:c r="F9" s="69" t="str">
        <x:v>Sai</x:v>
      </x:c>
    </x:row>
    <x:row r="10" ht="48" customHeight="1">
      <x:c r="A10" s="32" t="str">
        <x:v>Pre-test</x:v>
      </x:c>
      <x:c r="B10" s="32" t="str">
        <x:v>C3</x:v>
      </x:c>
      <x:c r="C10" s="30" t="str">
        <x:v>Đặc tính tích tụ của LPG</x:v>
      </x:c>
      <x:c r="D10" s="30" t="str">
        <x:v>Đo kiến thức về vùng nguy hiểm gần mặt sàn.</x:v>
      </x:c>
      <x:c r="E10" s="30" t="str">
        <x:v>1 điểm nếu đúng.</x:v>
      </x:c>
      <x:c r="F10" s="69" t="str">
        <x:v>Đúng</x:v>
      </x:c>
    </x:row>
    <x:row r="11" ht="48" customHeight="1">
      <x:c r="A11" s="32" t="str">
        <x:v>Pre-test</x:v>
      </x:c>
      <x:c r="B11" s="32" t="str">
        <x:v>C4</x:v>
      </x:c>
      <x:c r="C11" s="30" t="str">
        <x:v>Thông gió tự nhiên và giữ nguyên trạng thái điện</x:v>
      </x:c>
      <x:c r="D11" s="30" t="str">
        <x:v>Đo hành động xử lý an toàn.</x:v>
      </x:c>
      <x:c r="E11" s="30" t="str">
        <x:v>1 điểm nếu đúng.</x:v>
      </x:c>
      <x:c r="F11" s="69" t="str">
        <x:v>Đúng</x:v>
      </x:c>
    </x:row>
    <x:row r="12" ht="48" customHeight="1">
      <x:c r="A12" s="32" t="str">
        <x:v>Pre-test</x:v>
      </x:c>
      <x:c r="B12" s="32" t="str">
        <x:v>C5</x:v>
      </x:c>
      <x:c r="C12" s="30" t="str">
        <x:v>Khóa van khi có thể tiếp cận an toàn</x:v>
      </x:c>
      <x:c r="D12" s="30" t="str">
        <x:v>Đo quyết định có điều kiện, tránh khuyến khích tiếp cận nguy hiểm.</x:v>
      </x:c>
      <x:c r="E12" s="30" t="str">
        <x:v>1 điểm nếu đúng.</x:v>
      </x:c>
      <x:c r="F12" s="69" t="str">
        <x:v>Đúng</x:v>
      </x:c>
    </x:row>
    <x:row r="13" ht="48" customHeight="1">
      <x:c r="A13" s="32" t="str">
        <x:v>Pre-test</x:v>
      </x:c>
      <x:c r="B13" s="32" t="str">
        <x:v>C6</x:v>
      </x:c>
      <x:c r="C13" s="30" t="str">
        <x:v>Không dùng ngọn lửa kiểm tra rò rỉ</x:v>
      </x:c>
      <x:c r="D13" s="30" t="str">
        <x:v>Đo nhận biết hành vi nguy hiểm nghiêm trọng.</x:v>
      </x:c>
      <x:c r="E13" s="30" t="str">
        <x:v>1 điểm nếu đúng.</x:v>
      </x:c>
      <x:c r="F13" s="69" t="str">
        <x:v>Sai</x:v>
      </x:c>
    </x:row>
    <x:row r="14" ht="48" customHeight="1">
      <x:c r="A14" s="32" t="str">
        <x:v>Pre-test</x:v>
      </x:c>
      <x:c r="B14" s="32" t="str">
        <x:v>C7</x:v>
      </x:c>
      <x:c r="C14" s="30" t="str">
        <x:v>Sơ tán và gọi hỗ trợ</x:v>
      </x:c>
      <x:c r="D14" s="30" t="str">
        <x:v>Đo quyết định khi không thể kiểm soát sự cố.</x:v>
      </x:c>
      <x:c r="E14" s="30" t="str">
        <x:v>1 điểm nếu đúng.</x:v>
      </x:c>
      <x:c r="F14" s="69" t="str">
        <x:v>Đúng</x:v>
      </x:c>
    </x:row>
    <x:row r="15" ht="48" customHeight="1">
      <x:c r="A15" s="32" t="str">
        <x:v>Pre-test</x:v>
      </x:c>
      <x:c r="B15" s="32" t="str">
        <x:v>C8</x:v>
      </x:c>
      <x:c r="C15" s="30" t="str">
        <x:v>Nguy cơ cháy nổ</x:v>
      </x:c>
      <x:c r="D15" s="30" t="str">
        <x:v>Đo hiểu biết về hậu quả của hỗn hợp gas và nguồn mồi.</x:v>
      </x:c>
      <x:c r="E15" s="30" t="str">
        <x:v>1 điểm nếu đúng.</x:v>
      </x:c>
      <x:c r="F15" s="69" t="str">
        <x:v>Đúng</x:v>
      </x:c>
    </x:row>
    <x:row r="16" ht="48" customHeight="1">
      <x:c r="A16" s="32" t="str">
        <x:v>Pre-test</x:v>
      </x:c>
      <x:c r="B16" s="32" t="str">
        <x:v>C9</x:v>
      </x:c>
      <x:c r="C16" s="30" t="str">
        <x:v>Trình tự xử lý khi có thể tiếp cận an toàn</x:v>
      </x:c>
      <x:c r="D16" s="30" t="str">
        <x:v>Đo khả năng áp dụng nhiều bước trong một tình huống.</x:v>
      </x:c>
      <x:c r="E16" s="30" t="str">
        <x:v>1 điểm nếu chọn B.</x:v>
      </x:c>
      <x:c r="F16" s="69" t="str">
        <x:v>B</x:v>
      </x:c>
    </x:row>
    <x:row r="17" ht="48" customHeight="1">
      <x:c r="A17" s="32" t="str">
        <x:v>Pre-test</x:v>
      </x:c>
      <x:c r="B17" s="32" t="str">
        <x:v>C10</x:v>
      </x:c>
      <x:c r="C17" s="30" t="str">
        <x:v>Quyết định rời khỏi khu vực</x:v>
      </x:c>
      <x:c r="D17" s="30" t="str">
        <x:v>Đo ưu tiên an toàn khi không thể xử lý.</x:v>
      </x:c>
      <x:c r="E17" s="30" t="str">
        <x:v>1 điểm nếu chọn C.</x:v>
      </x:c>
      <x:c r="F17" s="69" t="str">
        <x:v>C</x:v>
      </x:c>
    </x:row>
    <x:row r="18" ht="48" customHeight="1">
      <x:c r="A18" s="32" t="str">
        <x:v>Post-test</x:v>
      </x:c>
      <x:c r="B18" s="32" t="str">
        <x:v>C1</x:v>
      </x:c>
      <x:c r="C18" s="30" t="str">
        <x:v>Giữ nguyên trạng thái thiết bị điện</x:v>
      </x:c>
      <x:c r="D18" s="30" t="str">
        <x:v>Phiên bản diễn đạt song song với pre-test để giảm nhớ nguyên văn.</x:v>
      </x:c>
      <x:c r="E18" s="30" t="str">
        <x:v>So sánh điểm trước–sau.</x:v>
      </x:c>
      <x:c r="F18" s="69" t="str">
        <x:v>Đúng</x:v>
      </x:c>
    </x:row>
    <x:row r="19" ht="48" customHeight="1">
      <x:c r="A19" s="32" t="str">
        <x:v>Post-test</x:v>
      </x:c>
      <x:c r="B19" s="32" t="str">
        <x:v>C2</x:v>
      </x:c>
      <x:c r="C19" s="30" t="str">
        <x:v>Không bật quạt điện</x:v>
      </x:c>
      <x:c r="D19" s="30" t="str">
        <x:v>Kiểm tra khả năng vận dụng nguyên tắc tránh tia lửa điện.</x:v>
      </x:c>
      <x:c r="E19" s="30" t="str">
        <x:v>So sánh điểm trước–sau.</x:v>
      </x:c>
      <x:c r="F19" s="69" t="str">
        <x:v>Sai</x:v>
      </x:c>
    </x:row>
    <x:row r="20" ht="48" customHeight="1">
      <x:c r="A20" s="32" t="str">
        <x:v>Post-test</x:v>
      </x:c>
      <x:c r="B20" s="32" t="str">
        <x:v>C3</x:v>
      </x:c>
      <x:c r="C20" s="30" t="str">
        <x:v>Không dùng điện thoại trong phòng có gas</x:v>
      </x:c>
      <x:c r="D20" s="30" t="str">
        <x:v>Kiểm tra hành vi gọi hỗ trợ từ vị trí an toàn.</x:v>
      </x:c>
      <x:c r="E20" s="30" t="str">
        <x:v>So sánh điểm trước–sau.</x:v>
      </x:c>
      <x:c r="F20" s="69" t="str">
        <x:v>Sai</x:v>
      </x:c>
    </x:row>
    <x:row r="21" ht="48" customHeight="1">
      <x:c r="A21" s="32" t="str">
        <x:v>Post-test</x:v>
      </x:c>
      <x:c r="B21" s="32" t="str">
        <x:v>C4</x:v>
      </x:c>
      <x:c r="C21" s="30" t="str">
        <x:v>LPG tích tụ ở vùng thấp</x:v>
      </x:c>
      <x:c r="D21" s="30" t="str">
        <x:v>Đo ghi nhớ kiến thức về đặc tính LPG.</x:v>
      </x:c>
      <x:c r="E21" s="30" t="str">
        <x:v>So sánh điểm trước–sau.</x:v>
      </x:c>
      <x:c r="F21" s="69" t="str">
        <x:v>Đúng</x:v>
      </x:c>
    </x:row>
    <x:row r="22" ht="48" customHeight="1">
      <x:c r="A22" s="32" t="str">
        <x:v>Post-test</x:v>
      </x:c>
      <x:c r="B22" s="32" t="str">
        <x:v>C5</x:v>
      </x:c>
      <x:c r="C22" s="30" t="str">
        <x:v>Khóa van có điều kiện an toàn</x:v>
      </x:c>
      <x:c r="D22" s="30" t="str">
        <x:v>Đo quyết định đúng mà không khuyến khích tiếp cận nguy hiểm.</x:v>
      </x:c>
      <x:c r="E22" s="30" t="str">
        <x:v>So sánh điểm trước–sau.</x:v>
      </x:c>
      <x:c r="F22" s="69" t="str">
        <x:v>Đúng</x:v>
      </x:c>
    </x:row>
    <x:row r="23" ht="48" customHeight="1">
      <x:c r="A23" s="32" t="str">
        <x:v>Post-test</x:v>
      </x:c>
      <x:c r="B23" s="32" t="str">
        <x:v>C6</x:v>
      </x:c>
      <x:c r="C23" s="30" t="str">
        <x:v>Thông gió tự nhiên</x:v>
      </x:c>
      <x:c r="D23" s="30" t="str">
        <x:v>Đo hiểu biết về cách làm loãng nồng độ gas an toàn.</x:v>
      </x:c>
      <x:c r="E23" s="30" t="str">
        <x:v>So sánh điểm trước–sau.</x:v>
      </x:c>
      <x:c r="F23" s="69" t="str">
        <x:v>Đúng</x:v>
      </x:c>
    </x:row>
    <x:row r="24" ht="48" customHeight="1">
      <x:c r="A24" s="32" t="str">
        <x:v>Post-test</x:v>
      </x:c>
      <x:c r="B24" s="32" t="str">
        <x:v>C7</x:v>
      </x:c>
      <x:c r="C24" s="30" t="str">
        <x:v>Không dùng lửa để kiểm tra</x:v>
      </x:c>
      <x:c r="D24" s="30" t="str">
        <x:v>Đo nhận biết lỗi an toàn nghiêm trọng.</x:v>
      </x:c>
      <x:c r="E24" s="30" t="str">
        <x:v>So sánh điểm trước–sau.</x:v>
      </x:c>
      <x:c r="F24" s="69" t="str">
        <x:v>Sai</x:v>
      </x:c>
    </x:row>
    <x:row r="25" ht="48" customHeight="1">
      <x:c r="A25" s="32" t="str">
        <x:v>Post-test</x:v>
      </x:c>
      <x:c r="B25" s="32" t="str">
        <x:v>C8</x:v>
      </x:c>
      <x:c r="C25" s="30" t="str">
        <x:v>Sơ tán và gọi hỗ trợ</x:v>
      </x:c>
      <x:c r="D25" s="30" t="str">
        <x:v>Đo quyết định khi sự cố vượt quá khả năng xử lý.</x:v>
      </x:c>
      <x:c r="E25" s="30" t="str">
        <x:v>So sánh điểm trước–sau.</x:v>
      </x:c>
      <x:c r="F25" s="69" t="str">
        <x:v>Đúng</x:v>
      </x:c>
    </x:row>
    <x:row r="26" ht="48" customHeight="1">
      <x:c r="A26" s="32" t="str">
        <x:v>Post-test</x:v>
      </x:c>
      <x:c r="B26" s="32" t="str">
        <x:v>C9</x:v>
      </x:c>
      <x:c r="C26" s="30" t="str">
        <x:v>Trình tự xử lý</x:v>
      </x:c>
      <x:c r="D26" s="30" t="str">
        <x:v>Đo vận dụng kiến thức trong tình huống tương đương.</x:v>
      </x:c>
      <x:c r="E26" s="30" t="str">
        <x:v>So sánh điểm trước–sau.</x:v>
      </x:c>
      <x:c r="F26" s="69" t="str">
        <x:v>B</x:v>
      </x:c>
    </x:row>
    <x:row r="27" ht="48" customHeight="1">
      <x:c r="A27" s="32" t="str">
        <x:v>Post-test</x:v>
      </x:c>
      <x:c r="B27" s="32" t="str">
        <x:v>C10</x:v>
      </x:c>
      <x:c r="C27" s="30" t="str">
        <x:v>Rời khỏi khu vực nguy hiểm</x:v>
      </x:c>
      <x:c r="D27" s="30" t="str">
        <x:v>Đo ưu tiên an toàn trong tình huống nghiêm trọng.</x:v>
      </x:c>
      <x:c r="E27" s="30" t="str">
        <x:v>So sánh điểm trước–sau.</x:v>
      </x:c>
      <x:c r="F27" s="69" t="str">
        <x:v>C</x:v>
      </x:c>
    </x:row>
    <x:row r="28" ht="48" customHeight="1">
      <x:c r="A28" s="32" t="str">
        <x:v>Pre/Post</x:v>
      </x:c>
      <x:c r="B28" s="32" t="str">
        <x:v>S1–S3</x:v>
      </x:c>
      <x:c r="C28" s="30" t="str">
        <x:v>Self-efficacy</x:v>
      </x:c>
      <x:c r="D28" s="30" t="str">
        <x:v>Đo mức tự tin bằng cùng câu hỏi trước và sau.</x:v>
      </x:c>
      <x:c r="E28" s="30" t="str">
        <x:v>So sánh trung bình post trừ pre; không thay thế điểm hành vi.</x:v>
      </x:c>
      <x:c r="F28" s="69" t="str">
        <x:v>Thang 1–5</x:v>
      </x:c>
    </x:row>
    <x:row r="29" ht="48" customHeight="1">
      <x:c r="A29" s="32" t="str">
        <x:v>Post-test</x:v>
      </x:c>
      <x:c r="B29" s="32" t="str">
        <x:v>V1–V4</x:v>
      </x:c>
      <x:c r="C29" s="30" t="str">
        <x:v>Khó chịu sau VR</x:v>
      </x:c>
      <x:c r="D29" s="30" t="str">
        <x:v>Đánh giá khả năng hoàn thành và tính khả thi của ứng dụng.</x:v>
      </x:c>
      <x:c r="E29" s="30" t="str">
        <x:v>So sánh với P4c; báo cáo tỷ lệ mức Vừa/Nặng/Phải dừng.</x:v>
      </x:c>
      <x:c r="F29" s="69" t="str">
        <x:v>Không cộng vào SUS</x:v>
      </x:c>
    </x:row>
    <x:row r="30" ht="48" customHeight="1">
      <x:c r="A30" s="32" t="str">
        <x:v>Post-test</x:v>
      </x:c>
      <x:c r="B30" s="32" t="str">
        <x:v>SUS1–SUS10</x:v>
      </x:c>
      <x:c r="C30" s="30" t="str">
        <x:v>Usability tổng quát</x:v>
      </x:c>
      <x:c r="D30" s="30" t="str">
        <x:v>SUS cung cấp điểm usability chuẩn hóa từ 0 đến 100.</x:v>
      </x:c>
      <x:c r="E30" s="30" t="str">
        <x:v>Câu lẻ: điểm = trả lời−1; câu chẵn: điểm = 5−trả lời; tổng ×2,5.</x:v>
      </x:c>
      <x:c r="F30" s="69" t="str">
        <x:v>Không diễn giải như phần trăm</x:v>
      </x:c>
    </x:row>
    <x:row r="31" ht="48" customHeight="1">
      <x:c r="A31" s="32" t="str">
        <x:v>Post-test</x:v>
      </x:c>
      <x:c r="B31" s="32" t="str">
        <x:v>Q1–Q10</x:v>
      </x:c>
      <x:c r="C31" s="30" t="str">
        <x:v>Chẩn đoán chi tiết ứng dụng</x:v>
      </x:c>
      <x:c r="D31" s="30" t="str">
        <x:v>Xác định cụ thể vấn đề về nhiệm vụ, tương tác, hướng dẫn, phản hồi, hiệu năng và giá trị huấn luyện.</x:v>
      </x:c>
      <x:c r="E31" s="30" t="str">
        <x:v>Phân tích từng câu hoặc theo chủ đề; không cộng thành một điểm usability chung.</x:v>
      </x:c>
      <x:c r="F31" s="69" t="str">
        <x:v>Thang 1–5</x:v>
      </x:c>
    </x:row>
    <x:row r="32" ht="48" customHeight="1">
      <x:c r="A32" s="32" t="str">
        <x:v>Post-test</x:v>
      </x:c>
      <x:c r="B32" s="32" t="str">
        <x:v>O1–O6</x:v>
      </x:c>
      <x:c r="C32" s="30" t="str">
        <x:v>Dữ liệu hành vi và kỹ thuật khách quan</x:v>
      </x:c>
      <x:c r="D32" s="30" t="str">
        <x:v>Self-report không đủ để xác nhận hoàn thành, trợ giúp hoặc lỗi.</x:v>
      </x:c>
      <x:c r="E32" s="30" t="str">
        <x:v>Dùng làm bằng chứng chính cho effectiveness và efficiency.</x:v>
      </x:c>
      <x:c r="F32" s="69" t="str">
        <x:v>Nhà nghiên cứu ghi</x:v>
      </x:c>
    </x:row>
    <x:row r="33" ht="48" customHeight="1">
      <x:c r="A33" s="32" t="str">
        <x:v>Post-test</x:v>
      </x:c>
      <x:c r="B33" s="32" t="str">
        <x:v>I1–I8</x:v>
      </x:c>
      <x:c r="C33" s="30" t="str">
        <x:v>Phản hồi định tính</x:v>
      </x:c>
      <x:c r="D33" s="30" t="str">
        <x:v>Tìm nguyên nhân, lỗi cụ thể, ưu tiên sửa và tính năng mong muốn.</x:v>
      </x:c>
      <x:c r="E33" s="30" t="str">
        <x:v>Mã hóa chủ đề; trích dẫn ẩn danh; đếm số người đề cập mỗi chủ đề.</x:v>
      </x:c>
      <x:c r="F33" s="69" t="str">
        <x:v>Không chấm điểm</x:v>
      </x:c>
    </x:row>
    <x:row r="35" ht="24" customHeight="1">
      <x:c r="A35" s="47" t="str">
        <x:v>NGUỒN THAM KHẢO VÀ LƯU Ý SỬ DỤNG</x:v>
      </x:c>
      <x:c r="B35" s="47"/>
      <x:c r="C35" s="47"/>
      <x:c r="D35" s="47"/>
      <x:c r="E35" s="47"/>
      <x:c r="F35" s="47"/>
    </x:row>
    <x:row r="36" ht="82" customHeight="1">
      <x:c r="A36" s="80" t="str">
        <x:v>ISO 9241-11</x:v>
      </x:c>
      <x:c r="B36" s="74" t="str">
        <x:v>Usability gồm effectiveness, efficiency và satisfaction trong bối cảnh sử dụng xác định.</x:v>
      </x:c>
      <x:c r="C36" s="74" t="str">
        <x:v>https://www.iso.org/standard/63500.html</x:v>
      </x:c>
    </x:row>
    <x:row r="37" ht="82" customHeight="1">
      <x:c r="A37" s="80" t="str">
        <x:v>System Usability Scale</x:v>
      </x:c>
      <x:c r="B37" s="75" t="str">
        <x:v>SUS là thang 10 câu; cần giữ nguyên thứ tự và cách chấm điểm.</x:v>
      </x:c>
      <x:c r="C37" s="75" t="str">
        <x:v>https://hci-studies.org/methods-and-measures/downloads/SUS_Brooke1996.pdf</x:v>
      </x:c>
    </x:row>
    <x:row r="38" ht="82" customHeight="1">
      <x:c r="A38" s="80" t="str">
        <x:v>Bộ Công an</x:v>
      </x:c>
      <x:c r="B38" s="75" t="str">
        <x:v>Hướng dẫn an toàn khi phát hiện mùi khí gas trong nhà.</x:v>
      </x:c>
      <x:c r="C38" s="75" t="str">
        <x:v>https://bocongan.gov.vn/chinh-sach-phap-luat/chi-tiet-cau-hoi/af4ad41b-17dd-423c-8d6f-bfbcbc4e9f97</x:v>
      </x:c>
    </x:row>
    <x:row r="39" ht="82" customHeight="1">
      <x:c r="A39" s="80" t="str">
        <x:v>Cục Cảnh sát PCCC và CNCH</x:v>
      </x:c>
      <x:c r="B39" s="75" t="str">
        <x:v>Hướng dẫn xử lý và sử dụng LPG an toàn tại hộ gia đình.</x:v>
      </x:c>
      <x:c r="C39" s="75" t="str">
        <x:v>https://canhsatpccc.gov.vn/vi/news/huong-dan-cong-dong/bien-phap-bao-dam-an-toan-pccc-viec-su-dung-khi-gas-tai-cac-ho-gia-dinh-1722</x:v>
      </x:c>
    </x:row>
    <x:row r="40" ht="82" customHeight="1">
      <x:c r="A40" s="80" t="str">
        <x:v>Lưu ý</x:v>
      </x:c>
      <x:c r="B40" s="75" t="str">
        <x:v>Không dùng kết quả tự tin hoặc cảm nhận để thay thế kiểm tra hành vi. Trước study chính thức, checklist và đáp án cần được chuyên gia PCCC xác nhận.</x:v>
      </x:c>
      <x:c r="C40" s="75" t="str"/>
    </x:row>
  </x:sheetData>
  <x:mergeCells>
    <x:mergeCell ref="A1:F1"/>
    <x:mergeCell ref="A2:F2"/>
    <x:mergeCell ref="A35:F35"/>
  </x:mergeCells>
  <x:pageMargins left="0.7" right="0.7" top="0.75" bottom="0.75" header="0.3" footer="0.3"/>
</x:worksheet>
</file>