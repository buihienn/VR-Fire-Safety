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c1f38285d214ab3" /></Relationships>
</file>

<file path=xl/workbook.xml><?xml version="1.0" encoding="utf-8"?>
<x:workbook xmlns:x="http://schemas.openxmlformats.org/spreadsheetml/2006/main">
  <x:sheets>
    <x:sheet xmlns:r="http://schemas.openxmlformats.org/officeDocument/2006/relationships" name="Pre-test" sheetId="1" r:id="Re59a7769b38f4a78"/>
    <x:sheet xmlns:r="http://schemas.openxmlformats.org/officeDocument/2006/relationships" name="Post-test" sheetId="2" r:id="R22c8f3796c56440d"/>
    <x:sheet xmlns:r="http://schemas.openxmlformats.org/officeDocument/2006/relationships" name="Lý do" sheetId="3" r:id="Rfc4d8d778ef5476c"/>
    <x:sheet xmlns:r="http://schemas.openxmlformats.org/officeDocument/2006/relationships" name="Multiplayer" sheetId="4" r:id="R2888071e67594e6d"/>
  </x:sheets>
</x:workbook>
</file>

<file path=xl/sharedStrings.xml><?xml version="1.0" encoding="utf-8"?>
<x:sst xmlns:x="http://schemas.openxmlformats.org/spreadsheetml/2006/main">
  <x:si>
    <x:t xml:space="preserve">PHIẾU PRE-TEST — VR FIRE SAFETY (SINGLEPLAYER)</x:t>
  </x:si>
  <x:si>
    <x:t xml:space="preserve">Điền trước khi sử dụng VR. Không xem đáp án hoặc điểm cho đến khi hoàn tất post-test.</x:t>
  </x:si>
  <x:si>
    <x:t xml:space="preserve">Mã người tham gia</x:t>
  </x:si>
  <x:si>
    <x:t xml:space="preserve">Ngày</x:t>
  </x:si>
  <x:si>
    <x:t xml:space="preserve">Điểm kiến thức /10</x:t>
  </x:si>
  <x:si>
    <x:t xml:space="preserve">A. THÔNG TIN NỀN VÀ NGUY CƠ KHÓ CHỊU KHI DÙNG VR</x:t>
  </x:si>
  <x:si>
    <x:t xml:space="preserve">Mã</x:t>
  </x:si>
  <x:si>
    <x:t xml:space="preserve">Câu hỏi / nhận định</x:t>
  </x:si>
  <x:si>
    <x:t xml:space="preserve">Loại dữ liệu</x:t>
  </x:si>
  <x:si>
    <x:t xml:space="preserve">Phương án / thang đo</x:t>
  </x:si>
  <x:si>
    <x:t xml:space="preserve">Câu trả lời</x:t>
  </x:si>
  <x:si>
    <x:t xml:space="preserve">Ghi chú</x:t>
  </x:si>
  <x:si>
    <x:t xml:space="preserve">Điểm (NCV)</x:t>
  </x:si>
  <x:si>
    <x:t xml:space="preserve">P1</x:t>
  </x:si>
  <x:si>
    <x:t xml:space="preserve">Bạn đã sử dụng kính VR bao nhiêu lần trước đây?</x:t>
  </x:si>
  <x:si>
    <x:t xml:space="preserve">Phân loại</x:t>
  </x:si>
  <x:si>
    <x:t xml:space="preserve">Chọn một phương án</x:t>
  </x:si>
  <x:si>
    <x:t xml:space="preserve">P2</x:t>
  </x:si>
  <x:si>
    <x:t xml:space="preserve">Bạn đã từng tham gia khóa học hoặc buổi hướng dẫn về phòng cháy, chữa cháy chưa?</x:t>
  </x:si>
  <x:si>
    <x:t xml:space="preserve">Có / Không / Không nhớ rõ</x:t>
  </x:si>
  <x:si>
    <x:t xml:space="preserve">P3</x:t>
  </x:si>
  <x:si>
    <x:t xml:space="preserve">Bạn đã từng được hướng dẫn cách xử lý rò rỉ khí gas chưa?</x:t>
  </x:si>
  <x:si>
    <x:t xml:space="preserve">P4a</x:t>
  </x:si>
  <x:si>
    <x:t xml:space="preserve">Bạn có thường bị say xe hoặc say tàu không?</x:t>
  </x:si>
  <x:si>
    <x:t xml:space="preserve">Tần suất</x:t>
  </x:si>
  <x:si>
    <x:t xml:space="preserve">Không bao giờ → Thường xuyên</x:t>
  </x:si>
  <x:si>
    <x:t xml:space="preserve">P4b</x:t>
  </x:si>
  <x:si>
    <x:t xml:space="preserve">Bạn đã từng chóng mặt, buồn nôn, đau đầu hoặc mỏi mắt khi sử dụng VR chưa?</x:t>
  </x:si>
  <x:si>
    <x:t xml:space="preserve">Chưa dùng VR / Không bao giờ → Thường xuyên</x:t>
  </x:si>
  <x:si>
    <x:t xml:space="preserve">P4c</x:t>
  </x:si>
  <x:si>
    <x:t xml:space="preserve">Hiện tại, trước khi bắt đầu trải nghiệm, bạn có cảm thấy chóng mặt, buồn nôn, đau đầu hoặc mỏi mắt không?</x:t>
  </x:si>
  <x:si>
    <x:t xml:space="preserve">Mức độ</x:t>
  </x:si>
  <x:si>
    <x:t xml:space="preserve">Không có / Nhẹ / Vừa / Nặng</x:t>
  </x:si>
  <x:si>
    <x:t xml:space="preserve">B. KIỂM TRA KIẾN THỨC BAN ĐẦU</x:t>
  </x:si>
  <x:si>
    <x:t xml:space="preserve">C1</x:t>
  </x:si>
  <x:si>
    <x:t xml:space="preserve">Khi phát hiện mùi gas, bật đèn hoặc quạt điện để kiểm tra và thông gió là hành động phù hợp.</x:t>
  </x:si>
  <x:si>
    <x:t xml:space="preserve">Kiến thức</x:t>
  </x:si>
  <x:si>
    <x:t xml:space="preserve">Đúng / Sai / Không chắc</x:t>
  </x:si>
  <x:si>
    <x:t xml:space="preserve">C2</x:t>
  </x:si>
  <x:si>
    <x:t xml:space="preserve">Có thể sử dụng điện thoại ngay trong khu vực đang có khí gas rò rỉ để gọi trợ giúp.</x:t>
  </x:si>
  <x:si>
    <x:t xml:space="preserve">C3</x:t>
  </x:si>
  <x:si>
    <x:t xml:space="preserve">Khí gas hóa lỏng bị rò rỉ có thể tích tụ tại các vị trí thấp và gần mặt sàn.</x:t>
  </x:si>
  <x:si>
    <x:t xml:space="preserve">C4</x:t>
  </x:si>
  <x:si>
    <x:t xml:space="preserve">Có thể mở cửa ra vào và cửa sổ bằng tay để thông gió tự nhiên</x:t>
  </x:si>
  <x:si>
    <x:t xml:space="preserve">C5</x:t>
  </x:si>
  <x:si>
    <x:t xml:space="preserve">Khi phát hiện rò rỉ gas, chỉ nên khóa van bình nếu có thể tiếp cận và thực hiện</x:t>
  </x:si>
  <x:si>
    <x:t xml:space="preserve">C6</x:t>
  </x:si>
  <x:si>
    <x:t xml:space="preserve">Có thể sử dụng bật lửa hoặc que diêm để xác định vị trí gas đang rò rỉ.</x:t>
  </x:si>
  <x:si>
    <x:t xml:space="preserve">C7</x:t>
  </x:si>
  <x:si>
    <x:t xml:space="preserve">Nếu không thể kiểm soát sự cố, cần đưa mọi người ra khỏi khu vực nguy hiểm và gọi trợ giúp từ vị trí an toàn.</x:t>
  </x:si>
  <x:si>
    <x:t xml:space="preserve">C8</x:t>
  </x:si>
  <x:si>
    <x:t xml:space="preserve">Khí gas tích tụ trong không khí có thể phát sinh cháy hoặc nổ khi gặp nguồn nhiệt hoặc tia lửa.</x:t>
  </x:si>
  <x:si>
    <x:t xml:space="preserve">C9</x:t>
  </x:si>
  <x:si>
    <x:t xml:space="preserve">Bạn phát hiện mùi gas trong phòng, chưa có cháy và van bình có thể tiếp cận an toàn. Trình tự nào phù hợp nhất?</x:t>
  </x:si>
  <x:si>
    <x:t xml:space="preserve">Tình huống</x:t>
  </x:si>
  <x:si>
    <x:t xml:space="preserve">A. Bật đèn → tìm chỗ rò → bật quạt điện
B. Cảnh báo mọi người → tránh tia lửa → khóa van nếu an toàn → mở cửa bằng tay để thông gió
C. Gọi điện cạnh bình gas → đóng kín cửa
D. Chờ khí gas tự hết</x:t>
  </x:si>
  <x:si>
    <x:t xml:space="preserve">C10</x:t>
  </x:si>
  <x:si>
    <x:t xml:space="preserve">Nếu không thể khóa van hoặc lượng khí gas rò rỉ quá lớn, bạn nên làm gì?</x:t>
  </x:si>
  <x:si>
    <x:t xml:space="preserve">A. Ở lại tìm cách xử lý
B. Dùng thiết bị điện tìm chỗ rò
C. Rời khu vực, cảnh báo mọi người và gọi hỗ trợ từ nơi an toàn
D. Đóng tất cả cửa rồi ở lại theo dõi</x:t>
  </x:si>
  <x:si>
    <x:t xml:space="preserve">C. MỨC TỰ TIN TRƯỚC HUẤN LUYỆN</x:t>
  </x:si>
  <x:si>
    <x:t xml:space="preserve">S1</x:t>
  </x:si>
  <x:si>
    <x:t xml:space="preserve">Tôi tự tin có thể nhận biết những hành động phải tránh khi phát hiện rò rỉ gas.</x:t>
  </x:si>
  <x:si>
    <x:t xml:space="preserve">Self-efficacy</x:t>
  </x:si>
  <x:si>
    <x:t xml:space="preserve">1 = Hoàn toàn không tự tin; 5 = Hoàn toàn tự tin</x:t>
  </x:si>
  <x:si>
    <x:t xml:space="preserve">S2</x:t>
  </x:si>
  <x:si>
    <x:t xml:space="preserve">Tôi tự tin có thể nêu đúng trình tự xử lý sự cố rò rỉ gas.</x:t>
  </x:si>
  <x:si>
    <x:t xml:space="preserve">S3</x:t>
  </x:si>
  <x:si>
    <x:t xml:space="preserve">Tôi tự tin có thể quyết định khi nào nên tự xử lý và khi nào phải rời khỏi khu vực.</x:t>
  </x:si>
  <x:si>
    <x:t xml:space="preserve">PHIẾU POST-TEST — VR FIRE SAFETY (SINGLEPLAYER)</x:t>
  </x:si>
  <x:si>
    <x:t xml:space="preserve">Điền ngay sau trải nghiệm. Các câu phỏng vấn mở nên được người nghiên cứu hỏi và ghi nguyên ý người tham gia.</x:t>
  </x:si>
  <x:si>
    <x:t xml:space="preserve">Thay đổi self-efficacy</x:t>
  </x:si>
  <x:si>
    <x:t xml:space="preserve">Thay đổi kiến thức</x:t>
  </x:si>
  <x:si>
    <x:t xml:space="preserve">Điểm SUS /100</x:t>
  </x:si>
  <x:si>
    <x:t xml:space="preserve">A. KIỂM TRA KIẾN THỨC SAU TRẢI NGHIỆM</x:t>
  </x:si>
  <x:si>
    <x:t xml:space="preserve">A. Bật đèn và quạt
B. Cảnh báo → tránh tia lửa → khóa van nếu an toàn → thông gió tự nhiên
C. Dùng điện thoại cạnh bình gas
D. Chờ gas tự hết</x:t>
  </x:si>
  <x:si>
    <x:t xml:space="preserve">A. Tiếp tục ở lại
B. Tìm chỗ rò bằng thiết bị điện
C. Rời khu vực, cảnh báo mọi người và gọi hỗ trợ từ nơi an toàn
D. Đóng kín phòng và theo dõi</x:t>
  </x:si>
  <x:si>
    <x:t xml:space="preserve">B. MỨC TỰ TIN SAU HUẤN LUYỆN</x:t>
  </x:si>
  <x:si>
    <x:t xml:space="preserve">C. TRIỆU CHỨNG KHÓ CHỊU SAU VR</x:t>
  </x:si>
  <x:si>
    <x:t xml:space="preserve">V1</x:t>
  </x:si>
  <x:si>
    <x:t xml:space="preserve">Sau trải nghiệm, mức độ chóng mặt của bạn là bao nhiêu?</x:t>
  </x:si>
  <x:si>
    <x:t xml:space="preserve">Triệu chứng VR</x:t>
  </x:si>
  <x:si>
    <x:t xml:space="preserve">Không có / Nhẹ / Vừa / Nặng / Phải dừng</x:t>
  </x:si>
  <x:si>
    <x:t xml:space="preserve">V2</x:t>
  </x:si>
  <x:si>
    <x:t xml:space="preserve">Sau trải nghiệm, mức độ buồn nôn của bạn là bao nhiêu?</x:t>
  </x:si>
  <x:si>
    <x:t xml:space="preserve">V3</x:t>
  </x:si>
  <x:si>
    <x:t xml:space="preserve">Sau trải nghiệm, mức độ đau đầu của bạn là bao nhiêu?</x:t>
  </x:si>
  <x:si>
    <x:t xml:space="preserve">V4</x:t>
  </x:si>
  <x:si>
    <x:t xml:space="preserve">Sau trải nghiệm, mức độ mỏi mắt của bạn là bao nhiêu?</x:t>
  </x:si>
  <x:si>
    <x:t xml:space="preserve">D. SYSTEM USABILITY SCALE (SUS)</x:t>
  </x:si>
  <x:si>
    <x:t xml:space="preserve">SUS1</x:t>
  </x:si>
  <x:si>
    <x:t xml:space="preserve">Tôi nghĩ rằng tôi muốn sử dụng ứng dụng này thường xuyên.</x:t>
  </x:si>
  <x:si>
    <x:t xml:space="preserve">SUS</x:t>
  </x:si>
  <x:si>
    <x:t xml:space="preserve">1 = Hoàn toàn không đồng ý; 5 = Hoàn toàn đồng ý</x:t>
  </x:si>
  <x:si>
    <x:t xml:space="preserve">SUS2</x:t>
  </x:si>
  <x:si>
    <x:t xml:space="preserve">Tôi thấy ứng dụng phức tạp một cách không cần thiết.</x:t>
  </x:si>
  <x:si>
    <x:t xml:space="preserve">SUS3</x:t>
  </x:si>
  <x:si>
    <x:t xml:space="preserve">Tôi thấy ứng dụng dễ sử dụng.</x:t>
  </x:si>
  <x:si>
    <x:t xml:space="preserve">SUS4</x:t>
  </x:si>
  <x:si>
    <x:t xml:space="preserve">Tôi nghĩ rằng tôi cần sự hỗ trợ của người có kỹ thuật để có thể sử dụng ứng dụng này.</x:t>
  </x:si>
  <x:si>
    <x:t xml:space="preserve">SUS5</x:t>
  </x:si>
  <x:si>
    <x:t xml:space="preserve">Tôi thấy các chức năng trong ứng dụng được tích hợp tốt.</x:t>
  </x:si>
  <x:si>
    <x:t xml:space="preserve">SUS6</x:t>
  </x:si>
  <x:si>
    <x:t xml:space="preserve">Tôi thấy ứng dụng có quá nhiều điểm thiếu nhất quán.</x:t>
  </x:si>
  <x:si>
    <x:t xml:space="preserve">SUS7</x:t>
  </x:si>
  <x:si>
    <x:t xml:space="preserve">Tôi nghĩ rằng hầu hết mọi người sẽ học cách sử dụng ứng dụng này rất nhanh.</x:t>
  </x:si>
  <x:si>
    <x:t xml:space="preserve">SUS8</x:t>
  </x:si>
  <x:si>
    <x:t xml:space="preserve">Tôi thấy ứng dụng rất rườm rà khi sử dụng.</x:t>
  </x:si>
  <x:si>
    <x:t xml:space="preserve">SUS9</x:t>
  </x:si>
  <x:si>
    <x:t xml:space="preserve">Tôi cảm thấy tự tin khi sử dụng ứng dụng.</x:t>
  </x:si>
  <x:si>
    <x:t xml:space="preserve">SUS10</x:t>
  </x:si>
  <x:si>
    <x:t xml:space="preserve">Tôi cần học nhiều thứ trước khi có thể sử dụng ứng dụng này.</x:t>
  </x:si>
  <x:si>
    <x:t xml:space="preserve">E. ĐÁNH GIÁ CHI TIẾT ỨNG DỤNG</x:t>
  </x:si>
  <x:si>
    <x:t xml:space="preserve">Q1</x:t>
  </x:si>
  <x:si>
    <x:t xml:space="preserve">Tôi hiểu rõ mục tiêu và nhiệm vụ cần thực hiện trong tình huống.</x:t>
  </x:si>
  <x:si>
    <x:t xml:space="preserve">Hiểu nhiệm vụ</x:t>
  </x:si>
  <x:si>
    <x:t xml:space="preserve">Q2</x:t>
  </x:si>
  <x:si>
    <x:t xml:space="preserve">Tôi dễ dàng cầm, thả và sử dụng các vật thể trong VR.</x:t>
  </x:si>
  <x:si>
    <x:t xml:space="preserve">Tương tác</x:t>
  </x:si>
  <x:si>
    <x:t xml:space="preserve">Q3</x:t>
  </x:si>
  <x:si>
    <x:t xml:space="preserve">Âm thanh hướng dẫn và cảnh báo đủ rõ để tôi biết cần làm gì.</x:t>
  </x:si>
  <x:si>
    <x:t xml:space="preserve">Hướng dẫn</x:t>
  </x:si>
  <x:si>
    <x:t xml:space="preserve">Q4</x:t>
  </x:si>
  <x:si>
    <x:t xml:space="preserve">Phản hồi của hệ thống giúp tôi nhận biết thao tác đã thành công hay chưa.</x:t>
  </x:si>
  <x:si>
    <x:t xml:space="preserve">Phản hồi</x:t>
  </x:si>
  <x:si>
    <x:t xml:space="preserve">Q5</x:t>
  </x:si>
  <x:si>
    <x:t xml:space="preserve">Ứng dụng phản hồi đủ nhanh và hoạt động ổn định trong suốt phiên trải nghiệm.</x:t>
  </x:si>
  <x:si>
    <x:t xml:space="preserve">Hiệu năng</x:t>
  </x:si>
  <x:si>
    <x:t xml:space="preserve">Q6</x:t>
  </x:si>
  <x:si>
    <x:t xml:space="preserve">Trạng thái khí gas, cháy và hậu quả trong mô phỏng thay đổi hợp lý theo hành động của tôi.</x:t>
  </x:si>
  <x:si>
    <x:t xml:space="preserve">Độ hợp lý</x:t>
  </x:si>
  <x:si>
    <x:t xml:space="preserve">Q7</x:t>
  </x:si>
  <x:si>
    <x:t xml:space="preserve">Phần điểm số hoặc xem lại kết quả giúp tôi nhận biết những hành động đúng và chưa đúng.</x:t>
  </x:si>
  <x:si>
    <x:t xml:space="preserve">Phản hồi học tập</x:t>
  </x:si>
  <x:si>
    <x:t xml:space="preserve">Q8</x:t>
  </x:si>
  <x:si>
    <x:t xml:space="preserve">Thời lượng của phiên trải nghiệm là phù hợp với một buổi hướng dẫn.</x:t>
  </x:si>
  <x:si>
    <x:t xml:space="preserve">Thời lượng</x:t>
  </x:si>
  <x:si>
    <x:t xml:space="preserve">Q9</x:t>
  </x:si>
  <x:si>
    <x:t xml:space="preserve">Ứng dụng là một công cụ hữu ích để hỗ trợ học cách xử lý tình huống rò rỉ gas.</x:t>
  </x:si>
  <x:si>
    <x:t xml:space="preserve">Giá trị huấn luyện</x:t>
  </x:si>
  <x:si>
    <x:t xml:space="preserve">Q10</x:t>
  </x:si>
  <x:si>
    <x:t xml:space="preserve">Tôi sẵn sàng tham gia một buổi huấn luyện khác sử dụng ứng dụng này.</x:t>
  </x:si>
  <x:si>
    <x:t xml:space="preserve">Chấp nhận</x:t>
  </x:si>
  <x:si>
    <x:t xml:space="preserve">F. DỮ LIỆU QUAN SÁT — DÀNH CHO NHÀ NGHIÊN CỨU</x:t>
  </x:si>
  <x:si>
    <x:t xml:space="preserve">O1</x:t>
  </x:si>
  <x:si>
    <x:t xml:space="preserve">Kết quả hoàn thành tình huống</x:t>
  </x:si>
  <x:si>
    <x:t xml:space="preserve">Quan sát</x:t>
  </x:si>
  <x:si>
    <x:t xml:space="preserve">Nhà nghiên cứu ghi</x:t>
  </x:si>
  <x:si>
    <x:t xml:space="preserve">O2</x:t>
  </x:si>
  <x:si>
    <x:t xml:space="preserve">Thời gian hoàn thành tình huống (giây)</x:t>
  </x:si>
  <x:si>
    <x:t xml:space="preserve">Số</x:t>
  </x:si>
  <x:si>
    <x:t xml:space="preserve">Nhập số giây</x:t>
  </x:si>
  <x:si>
    <x:t xml:space="preserve">O3</x:t>
  </x:si>
  <x:si>
    <x:t xml:space="preserve">Số lần người hướng dẫn phải hỗ trợ hoặc nhắc thao tác</x:t>
  </x:si>
  <x:si>
    <x:t xml:space="preserve">Nhập số lần</x:t>
  </x:si>
  <x:si>
    <x:t xml:space="preserve">O4</x:t>
  </x:si>
  <x:si>
    <x:t xml:space="preserve">Số lỗi an toàn nghiêm trọng được quan sát</x:t>
  </x:si>
  <x:si>
    <x:t xml:space="preserve">Nhập số lỗi</x:t>
  </x:si>
  <x:si>
    <x:t xml:space="preserve">O5</x:t>
  </x:si>
  <x:si>
    <x:t xml:space="preserve">Mức độ lỗi kỹ thuật ảnh hưởng đến phiên trải nghiệm</x:t>
  </x:si>
  <x:si>
    <x:t xml:space="preserve">Không có / Nhẹ / Vừa / Nghiêm trọng</x:t>
  </x:si>
  <x:si>
    <x:t xml:space="preserve">O6</x:t>
  </x:si>
  <x:si>
    <x:t xml:space="preserve">Mô tả lỗi thao tác, lỗi an toàn hoặc lỗi kỹ thuật đáng chú ý</x:t>
  </x:si>
  <x:si>
    <x:t xml:space="preserve">G. CÂU HỎI PHỎNG VẤN MỞ</x:t>
  </x:si>
  <x:si>
    <x:t xml:space="preserve">I1</x:t>
  </x:si>
  <x:si>
    <x:t xml:space="preserve">Phần nào của ứng dụng hữu ích nhất đối với việc học cách xử lý sự cố? Vì sao?</x:t>
  </x:si>
  <x:si>
    <x:t xml:space="preserve">Phỏng vấn mở</x:t>
  </x:si>
  <x:si>
    <x:t xml:space="preserve">Ghi nguyên ý người tham gia</x:t>
  </x:si>
  <x:si>
    <x:t xml:space="preserve">I2</x:t>
  </x:si>
  <x:si>
    <x:t xml:space="preserve">Trong quá trình trải nghiệm, điều gì khiến bạn khó hiểu hoặc mất nhiều thời gian nhất?</x:t>
  </x:si>
  <x:si>
    <x:t xml:space="preserve">I3</x:t>
  </x:si>
  <x:si>
    <x:t xml:space="preserve">Có thao tác, vật thể hoặc tính năng nào không hoạt động như bạn mong đợi không? Hãy mô tả tình huống cụ thể.</x:t>
  </x:si>
  <x:si>
    <x:t xml:space="preserve">I4</x:t>
  </x:si>
  <x:si>
    <x:t xml:space="preserve">Có hướng dẫn, âm thanh hoặc phản hồi nào chưa rõ ràng? Bạn muốn chúng được thay đổi như thế nào?</x:t>
  </x:si>
  <x:si>
    <x:t xml:space="preserve">I5</x:t>
  </x:si>
  <x:si>
    <x:t xml:space="preserve">Chi tiết nào trong mô phỏng khiến bạn cảm thấy chưa giống hoặc chưa phù hợp với tình huống thực tế?</x:t>
  </x:si>
  <x:si>
    <x:t xml:space="preserve">Nếu chưa từng huấn luyện thực tế, ghi rõ</x:t>
  </x:si>
  <x:si>
    <x:t xml:space="preserve">I6</x:t>
  </x:si>
  <x:si>
    <x:t xml:space="preserve">Nếu chỉ được sửa một vấn đề trước phiên bản tiếp theo, bạn muốn ưu tiên sửa điều gì?</x:t>
  </x:si>
  <x:si>
    <x:t xml:space="preserve">Ghi một ưu tiên chính</x:t>
  </x:si>
  <x:si>
    <x:t xml:space="preserve">I7</x:t>
  </x:si>
  <x:si>
    <x:t xml:space="preserve">Bạn mong muốn ứng dụng bổ sung tính năng, tình huống hoặc loại phản hồi nào?</x:t>
  </x:si>
  <x:si>
    <x:t xml:space="preserve">Có thể nêu nhiều đề xuất</x:t>
  </x:si>
  <x:si>
    <x:t xml:space="preserve">I8</x:t>
  </x:si>
  <x:si>
    <x:t xml:space="preserve">Bạn còn góp ý nào khác để ứng dụng dễ sử dụng hoặc hỗ trợ huấn luyện tốt hơn không?</x:t>
  </x:si>
  <x:si>
    <x:t xml:space="preserve">Tùy chọn</x:t>
  </x:si>
  <x:si>
    <x:t xml:space="preserve">BẢNG ĐỐI CHIẾU CÂU HỎI VÀ MỤC TIÊU ĐÁNH GIÁ</x:t>
  </x:si>
  <x:si>
    <x:t xml:space="preserve">Phiếu / nhóm</x:t>
  </x:si>
  <x:si>
    <x:t xml:space="preserve">Nội dung được đo</x:t>
  </x:si>
  <x:si>
    <x:t xml:space="preserve">Lý do sử dụng</x:t>
  </x:si>
  <x:si>
    <x:t xml:space="preserve">Cách dùng khi phân tích</x:t>
  </x:si>
  <x:si>
    <x:t xml:space="preserve">Đáp án / ghi chú</x:t>
  </x:si>
  <x:si>
    <x:t xml:space="preserve">Pre-test</x:t>
  </x:si>
  <x:si>
    <x:t xml:space="preserve">Kinh nghiệm VR</x:t>
  </x:si>
  <x:si>
    <x:t xml:space="preserve">Kinh nghiệm VR có thể ảnh hưởng tốc độ học thao tác.</x:t>
  </x:si>
  <x:si>
    <x:t xml:space="preserve">Dùng để mô tả mẫu và kiểm tra khác biệt giữa người mới/người đã quen VR.</x:t>
  </x:si>
  <x:si>
    <x:t xml:space="preserve">Không chấm điểm</x:t>
  </x:si>
  <x:si>
    <x:t xml:space="preserve">P2–P3</x:t>
  </x:si>
  <x:si>
    <x:t xml:space="preserve">Kinh nghiệm PCCC và rò rỉ gas</x:t>
  </x:si>
  <x:si>
    <x:t xml:space="preserve">Kiến thức hoặc huấn luyện trước đó có thể làm điểm ban đầu cao hơn.</x:t>
  </x:si>
  <x:si>
    <x:t xml:space="preserve">Biến nền; cân nhắc khi giải thích knowledge gain.</x:t>
  </x:si>
  <x:si>
    <x:t xml:space="preserve">P4a–P4c</x:t>
  </x:si>
  <x:si>
    <x:t xml:space="preserve">Nguy cơ và triệu chứng khó chịu trước VR</x:t>
  </x:si>
  <x:si>
    <x:t xml:space="preserve">Cần phân biệt triệu chứng có sẵn với triệu chứng phát sinh sau VR.</x:t>
  </x:si>
  <x:si>
    <x:t xml:space="preserve">Đối chiếu với V1–V4 và ghi nhận trường hợp phải dừng.</x:t>
  </x:si>
  <x:si>
    <x:t xml:space="preserve">Không sử dụng thiết bị điện khi có rò rỉ gas</x:t>
  </x:si>
  <x:si>
    <x:t xml:space="preserve">Đo nhận biết nguy cơ tia lửa điện.</x:t>
  </x:si>
  <x:si>
    <x:t xml:space="preserve">1 điểm nếu đúng.</x:t>
  </x:si>
  <x:si>
    <x:t xml:space="preserve">Sai</x:t>
  </x:si>
  <x:si>
    <x:t xml:space="preserve">Không dùng điện thoại trong vùng nguy hiểm</x:t>
  </x:si>
  <x:si>
    <x:t xml:space="preserve">Đo nhận biết nguồn phát tia lửa tiềm ẩn.</x:t>
  </x:si>
  <x:si>
    <x:t xml:space="preserve">Đặc tính tích tụ của LPG</x:t>
  </x:si>
  <x:si>
    <x:t xml:space="preserve">Đo kiến thức về vùng nguy hiểm gần mặt sàn.</x:t>
  </x:si>
  <x:si>
    <x:t xml:space="preserve">Đúng</x:t>
  </x:si>
  <x:si>
    <x:t xml:space="preserve">Thông gió tự nhiên và giữ nguyên trạng thái điện</x:t>
  </x:si>
  <x:si>
    <x:t xml:space="preserve">Đo hành động xử lý an toàn.</x:t>
  </x:si>
  <x:si>
    <x:t xml:space="preserve">Khóa van khi có thể tiếp cận an toàn</x:t>
  </x:si>
  <x:si>
    <x:t xml:space="preserve">Đo quyết định có điều kiện, tránh khuyến khích tiếp cận nguy hiểm.</x:t>
  </x:si>
  <x:si>
    <x:t xml:space="preserve">Không dùng ngọn lửa kiểm tra rò rỉ</x:t>
  </x:si>
  <x:si>
    <x:t xml:space="preserve">Đo nhận biết hành vi nguy hiểm nghiêm trọng.</x:t>
  </x:si>
  <x:si>
    <x:t xml:space="preserve">Sơ tán và gọi hỗ trợ</x:t>
  </x:si>
  <x:si>
    <x:t xml:space="preserve">Đo quyết định khi không thể kiểm soát sự cố.</x:t>
  </x:si>
  <x:si>
    <x:t xml:space="preserve">Nguy cơ cháy nổ</x:t>
  </x:si>
  <x:si>
    <x:t xml:space="preserve">Đo hiểu biết về hậu quả của hỗn hợp gas và nguồn mồi.</x:t>
  </x:si>
  <x:si>
    <x:t xml:space="preserve">Trình tự xử lý khi có thể tiếp cận an toàn</x:t>
  </x:si>
  <x:si>
    <x:t xml:space="preserve">Đo khả năng áp dụng nhiều bước trong một tình huống.</x:t>
  </x:si>
  <x:si>
    <x:t xml:space="preserve">1 điểm nếu chọn B.</x:t>
  </x:si>
  <x:si>
    <x:t xml:space="preserve">B</x:t>
  </x:si>
  <x:si>
    <x:t xml:space="preserve">Quyết định rời khỏi khu vực</x:t>
  </x:si>
  <x:si>
    <x:t xml:space="preserve">Đo ưu tiên an toàn khi không thể xử lý.</x:t>
  </x:si>
  <x:si>
    <x:t xml:space="preserve">1 điểm nếu chọn C.</x:t>
  </x:si>
  <x:si>
    <x:t xml:space="preserve">C</x:t>
  </x:si>
  <x:si>
    <x:t xml:space="preserve">Post-test</x:t>
  </x:si>
  <x:si>
    <x:t xml:space="preserve">Giữ nguyên trạng thái thiết bị điện</x:t>
  </x:si>
  <x:si>
    <x:t xml:space="preserve">Phiên bản diễn đạt song song với pre-test để giảm nhớ nguyên văn.</x:t>
  </x:si>
  <x:si>
    <x:t xml:space="preserve">So sánh điểm trước–sau.</x:t>
  </x:si>
  <x:si>
    <x:t xml:space="preserve">Không bật quạt điện</x:t>
  </x:si>
  <x:si>
    <x:t xml:space="preserve">Kiểm tra khả năng vận dụng nguyên tắc tránh tia lửa điện.</x:t>
  </x:si>
  <x:si>
    <x:t xml:space="preserve">Không dùng điện thoại trong phòng có gas</x:t>
  </x:si>
  <x:si>
    <x:t xml:space="preserve">Kiểm tra hành vi gọi hỗ trợ từ vị trí an toàn.</x:t>
  </x:si>
  <x:si>
    <x:t xml:space="preserve">LPG tích tụ ở vùng thấp</x:t>
  </x:si>
  <x:si>
    <x:t xml:space="preserve">Đo ghi nhớ kiến thức về đặc tính LPG.</x:t>
  </x:si>
  <x:si>
    <x:t xml:space="preserve">Khóa van có điều kiện an toàn</x:t>
  </x:si>
  <x:si>
    <x:t xml:space="preserve">Đo quyết định đúng mà không khuyến khích tiếp cận nguy hiểm.</x:t>
  </x:si>
  <x:si>
    <x:t xml:space="preserve">Thông gió tự nhiên</x:t>
  </x:si>
  <x:si>
    <x:t xml:space="preserve">Đo hiểu biết về cách làm loãng nồng độ gas an toàn.</x:t>
  </x:si>
  <x:si>
    <x:t xml:space="preserve">Không dùng lửa để kiểm tra</x:t>
  </x:si>
  <x:si>
    <x:t xml:space="preserve">Đo nhận biết lỗi an toàn nghiêm trọng.</x:t>
  </x:si>
  <x:si>
    <x:t xml:space="preserve">Đo quyết định khi sự cố vượt quá khả năng xử lý.</x:t>
  </x:si>
  <x:si>
    <x:t xml:space="preserve">Trình tự xử lý</x:t>
  </x:si>
  <x:si>
    <x:t xml:space="preserve">Đo vận dụng kiến thức trong tình huống tương đương.</x:t>
  </x:si>
  <x:si>
    <x:t xml:space="preserve">Rời khỏi khu vực nguy hiểm</x:t>
  </x:si>
  <x:si>
    <x:t xml:space="preserve">Đo ưu tiên an toàn trong tình huống nghiêm trọng.</x:t>
  </x:si>
  <x:si>
    <x:t xml:space="preserve">Pre/Post</x:t>
  </x:si>
  <x:si>
    <x:t xml:space="preserve">S1–S3</x:t>
  </x:si>
  <x:si>
    <x:t xml:space="preserve">Đo mức tự tin bằng cùng câu hỏi trước và sau.</x:t>
  </x:si>
  <x:si>
    <x:t xml:space="preserve">So sánh trung bình post trừ pre; không thay thế điểm hành vi.</x:t>
  </x:si>
  <x:si>
    <x:t xml:space="preserve">Thang 1–5</x:t>
  </x:si>
  <x:si>
    <x:t xml:space="preserve">V1–V4</x:t>
  </x:si>
  <x:si>
    <x:t xml:space="preserve">Khó chịu sau VR</x:t>
  </x:si>
  <x:si>
    <x:t xml:space="preserve">Đánh giá khả năng hoàn thành và tính khả thi của ứng dụng.</x:t>
  </x:si>
  <x:si>
    <x:t xml:space="preserve">So sánh với P4c; báo cáo tỷ lệ mức Vừa/Nặng/Phải dừng.</x:t>
  </x:si>
  <x:si>
    <x:t xml:space="preserve">Không cộng vào SUS</x:t>
  </x:si>
  <x:si>
    <x:t xml:space="preserve">SUS1–SUS10</x:t>
  </x:si>
  <x:si>
    <x:t xml:space="preserve">Usability tổng quát</x:t>
  </x:si>
  <x:si>
    <x:t xml:space="preserve">SUS cung cấp điểm usability chuẩn hóa từ 0 đến 100.</x:t>
  </x:si>
  <x:si>
    <x:t xml:space="preserve">Câu lẻ: điểm = trả lời−1; câu chẵn: điểm = 5−trả lời; tổng ×2,5.</x:t>
  </x:si>
  <x:si>
    <x:t xml:space="preserve">Không diễn giải như phần trăm</x:t>
  </x:si>
  <x:si>
    <x:t xml:space="preserve">Q1–Q10</x:t>
  </x:si>
  <x:si>
    <x:t xml:space="preserve">Chẩn đoán chi tiết ứng dụng</x:t>
  </x:si>
  <x:si>
    <x:t xml:space="preserve">Xác định cụ thể vấn đề về nhiệm vụ, tương tác, hướng dẫn, phản hồi, hiệu năng và giá trị huấn luyện.</x:t>
  </x:si>
  <x:si>
    <x:t xml:space="preserve">Phân tích từng câu hoặc theo chủ đề; không cộng thành một điểm usability chung.</x:t>
  </x:si>
  <x:si>
    <x:t xml:space="preserve">O1–O6</x:t>
  </x:si>
  <x:si>
    <x:t xml:space="preserve">Dữ liệu hành vi và kỹ thuật khách quan</x:t>
  </x:si>
  <x:si>
    <x:t xml:space="preserve">Self-report không đủ để xác nhận hoàn thành, trợ giúp hoặc lỗi.</x:t>
  </x:si>
  <x:si>
    <x:t xml:space="preserve">Dùng làm bằng chứng chính cho effectiveness và efficiency.</x:t>
  </x:si>
  <x:si>
    <x:t xml:space="preserve">I1–I8</x:t>
  </x:si>
  <x:si>
    <x:t xml:space="preserve">Phản hồi định tính</x:t>
  </x:si>
  <x:si>
    <x:t xml:space="preserve">Tìm nguyên nhân, lỗi cụ thể, ưu tiên sửa và tính năng mong muốn.</x:t>
  </x:si>
  <x:si>
    <x:t xml:space="preserve">Mã hóa chủ đề; trích dẫn ẩn danh; đếm số người đề cập mỗi chủ đề.</x:t>
  </x:si>
  <x:si>
    <x:t xml:space="preserve">NGUỒN THAM KHẢO VÀ LƯU Ý SỬ DỤNG</x:t>
  </x:si>
  <x:si>
    <x:t xml:space="preserve">ISO 9241-11</x:t>
  </x:si>
  <x:si>
    <x:t xml:space="preserve">Usability gồm effectiveness, efficiency và satisfaction trong bối cảnh sử dụng xác định.</x:t>
  </x:si>
  <x:si>
    <x:t xml:space="preserve">https://www.iso.org/standard/63500.html</x:t>
  </x:si>
  <x:si>
    <x:t xml:space="preserve">System Usability Scale</x:t>
  </x:si>
  <x:si>
    <x:t xml:space="preserve">SUS là thang 10 câu; cần giữ nguyên thứ tự và cách chấm điểm.</x:t>
  </x:si>
  <x:si>
    <x:t xml:space="preserve">https://hci-studies.org/methods-and-measures/downloads/SUS_Brooke1996.pdf</x:t>
  </x:si>
  <x:si>
    <x:t xml:space="preserve">Bộ Công an</x:t>
  </x:si>
  <x:si>
    <x:t xml:space="preserve">Hướng dẫn an toàn khi phát hiện mùi khí gas trong nhà.</x:t>
  </x:si>
  <x:si>
    <x:t xml:space="preserve">https://bocongan.gov.vn/chinh-sach-phap-luat/chi-tiet-cau-hoi/af4ad41b-17dd-423c-8d6f-bfbcbc4e9f97</x:t>
  </x:si>
  <x:si>
    <x:t xml:space="preserve">Cục Cảnh sát PCCC và CNCH</x:t>
  </x:si>
  <x:si>
    <x:t xml:space="preserve">Hướng dẫn xử lý và sử dụng LPG an toàn tại hộ gia đình.</x:t>
  </x:si>
  <x:si>
    <x:t xml:space="preserve">https://canhsatpccc.gov.vn/vi/news/huong-dan-cong-dong/bien-phap-bao-dam-an-toan-pccc-viec-su-dung-khi-gas-tai-cac-ho-gia-dinh-1722</x:t>
  </x:si>
  <x:si>
    <x:t xml:space="preserve">Lưu ý</x:t>
  </x:si>
  <x:si>
    <x:t xml:space="preserve">Không dùng kết quả tự tin hoặc cảm nhận để thay thế kiểm tra hành vi. Trước study chính thức, checklist và đáp án cần được chuyên gia PCCC xác nhận.</x:t>
  </x:si>
</x:sst>
</file>

<file path=xl/styles.xml><?xml version="1.0" encoding="utf-8"?>
<x:styleSheet xmlns:x="http://schemas.openxmlformats.org/spreadsheetml/2006/main">
  <x:numFmts count="2">
    <x:numFmt numFmtId="164" formatCode="yyyy-mm-dd"/>
    <x:numFmt numFmtId="165" formatCode="0.0"/>
  </x:numFmts>
  <x:fonts count="12">
    <x:font>
      <x:sz val="11"/>
      <x:color rgb="FF000000"/>
      <x:name val="Carlito"/>
    </x:font>
    <x:font>
      <x:b/>
      <x:sz val="16"/>
      <x:color rgb="FFFFFFFF"/>
      <x:name val="Carlito"/>
    </x:font>
    <x:font>
      <x:i/>
      <x:sz val="10"/>
      <x:color rgb="FF666666"/>
      <x:name val="Carlito"/>
    </x:font>
    <x:font>
      <x:b/>
      <x:sz val="11"/>
      <x:color rgb="FF1F1F1F"/>
      <x:name val="Carlito"/>
    </x:font>
    <x:font>
      <x:b/>
      <x:sz val="11"/>
      <x:color rgb="FFFFFFFF"/>
      <x:name val="Carlito"/>
    </x:font>
    <x:font>
      <x:sz val="10"/>
      <x:color rgb="FF1F1F1F"/>
      <x:name val="Carlito"/>
    </x:font>
    <x:font>
      <x:b/>
      <x:sz val="11"/>
      <x:color rgb="FF0F6B78"/>
      <x:name val="Carlito"/>
    </x:font>
    <x:font>
      <x:b/>
      <x:sz val="11"/>
      <x:color rgb="FF17365D"/>
      <x:name val="Carlito"/>
    </x:font>
    <x:font>
      <x:b/>
      <x:sz val="10"/>
      <x:color rgb="FF17365D"/>
      <x:name val="Carlito"/>
    </x:font>
    <x:font>
      <x:b/>
      <x:sz val="11"/>
      <x:color rgb="FF548235"/>
      <x:name val="Carlito"/>
    </x:font>
    <x:font>
      <x:sz val="10"/>
      <x:color rgb="FF666666"/>
      <x:name val="Carlito"/>
    </x:font>
    <x:font>
      <x:sz val="11"/>
      <x:color theme="1"/>
      <x:name val="Carlito"/>
    </x:font>
  </x:fonts>
  <x:fills count="26">
    <x:fill>
      <x:patternFill patternType="none"/>
    </x:fill>
    <x:fill>
      <x:patternFill patternType="lightGray"/>
    </x:fill>
    <x:fill>
      <x:patternFill patternType="solid">
        <x:fgColor rgb="FF17365D"/>
      </x:patternFill>
    </x:fill>
    <x:fill>
      <x:patternFill patternType="solid">
        <x:fgColor rgb="FFEDF5FB"/>
      </x:patternFill>
    </x:fill>
    <x:fill>
      <x:patternFill patternType="solid">
        <x:fgColor rgb="FFFFF2CC"/>
      </x:patternFill>
    </x:fill>
    <x:fill>
      <x:patternFill patternType="solid">
        <x:fgColor rgb="FFFFFFFF"/>
      </x:patternFill>
    </x:fill>
    <x:fill>
      <x:patternFill patternType="solid">
        <x:fgColor rgb="FFF2F2F2"/>
      </x:patternFill>
    </x:fill>
    <x:fill>
      <x:patternFill patternType="solid">
        <x:fgColor rgb="FFDDEBF7"/>
      </x:patternFill>
    </x:fill>
    <x:fill>
      <x:patternFill patternType="solid">
        <x:fgColor rgb="FF2F75B5"/>
      </x:patternFill>
    </x:fill>
    <x:fill>
      <x:patternFill patternType="solid">
        <x:fgColor rgb="FFD9EAF7"/>
      </x:patternFill>
    </x:fill>
    <x:fill>
      <x:patternFill patternType="solid">
        <x:fgColor rgb="FFFFFBEA"/>
      </x:patternFill>
    </x:fill>
    <x:fill>
      <x:patternFill patternType="solid">
        <x:fgColor rgb="FFE2F0D9"/>
      </x:patternFill>
    </x:fill>
    <x:fill>
      <x:patternFill patternType="solid">
        <x:fgColor rgb="FF0F6B78"/>
      </x:patternFill>
    </x:fill>
    <x:fill>
      <x:patternFill patternType="solid">
        <x:fgColor rgb="FFBF9000"/>
      </x:patternFill>
    </x:fill>
    <x:fill>
      <x:patternFill patternType="solid">
        <x:fgColor rgb="FF548235"/>
      </x:patternFill>
    </x:fill>
    <x:fill>
      <x:patternFill patternType="solid">
        <x:fgColor rgb="FF17365D"/>
      </x:patternFill>
    </x:fill>
    <x:fill>
      <x:patternFill patternType="solid">
        <x:fgColor rgb="FFEDF5FB"/>
      </x:patternFill>
    </x:fill>
    <x:fill>
      <x:patternFill patternType="solid">
        <x:fgColor rgb="FFFFF2CC"/>
      </x:patternFill>
    </x:fill>
    <x:fill>
      <x:patternFill patternType="solid">
        <x:fgColor rgb="FFFFFFFF"/>
      </x:patternFill>
    </x:fill>
    <x:fill>
      <x:patternFill patternType="solid">
        <x:fgColor rgb="FF2F75B5"/>
      </x:patternFill>
    </x:fill>
    <x:fill>
      <x:patternFill patternType="solid">
        <x:fgColor rgb="FFD9EAF7"/>
      </x:patternFill>
    </x:fill>
    <x:fill>
      <x:patternFill patternType="solid">
        <x:fgColor rgb="FFF2F2F2"/>
      </x:patternFill>
    </x:fill>
    <x:fill>
      <x:patternFill patternType="solid">
        <x:fgColor rgb="FFFFFBEA"/>
      </x:patternFill>
    </x:fill>
    <x:fill>
      <x:patternFill patternType="solid">
        <x:fgColor rgb="FF0F6B78"/>
      </x:patternFill>
    </x:fill>
    <x:fill>
      <x:patternFill patternType="solid">
        <x:fgColor rgb="FFBF9000"/>
      </x:patternFill>
    </x:fill>
    <x:fill>
      <x:patternFill patternType="solid">
        <x:fgColor rgb="FF548235"/>
      </x:patternFill>
    </x:fill>
  </x:fills>
  <x:borders count="4">
    <x:border/>
    <x:border>
      <x:left style="thin">
        <x:color rgb="FFC9D2DC"/>
      </x:left>
      <x:right style="thin">
        <x:color rgb="FFC9D2DC"/>
      </x:right>
      <x:top style="thin">
        <x:color rgb="FFC9D2DC"/>
      </x:top>
      <x:bottom style="thin">
        <x:color rgb="FFC9D2DC"/>
      </x:bottom>
    </x:border>
    <x:border>
      <x:bottom style="thin">
        <x:color rgb="FFC9D2DC"/>
      </x:bottom>
    </x:border>
    <x:border>
      <x:top style="thin">
        <x:color rgb="FFC9D2DC"/>
      </x:top>
      <x:bottom style="thin">
        <x:color rgb="FFC9D2DC"/>
      </x:bottom>
    </x:border>
  </x:borders>
  <x:cellStyleXfs count="1">
    <x:xf numFmtId="0" fontId="0" fillId="0" borderId="0" applyFont="1" applyAlignment="1"/>
  </x:cellStyleXfs>
  <x:cellXfs count="104">
    <x:xf numFmtId="0" fontId="0" fillId="0" borderId="0" xfId="0" applyFont="1" applyAlignment="1">
      <x:alignment vertical="bottom" wrapText="0"/>
    </x:xf>
    <x:xf numFmtId="0" fontId="1" fillId="2" borderId="0" xfId="0" applyFont="1" applyFill="1" applyAlignment="1">
      <x:alignment horizontal="center" vertical="center"/>
    </x:xf>
    <x:xf numFmtId="0" fontId="2" fillId="3" borderId="0" xfId="0" applyFont="1" applyFill="1" applyAlignment="1">
      <x:alignment vertical="center" wrapText="1"/>
    </x:xf>
    <x:xf numFmtId="0" fontId="3" fillId="4" borderId="1" xfId="0" applyFont="1" applyFill="1" applyBorder="1" applyAlignment="1">
      <x:alignment vertical="center"/>
    </x:xf>
    <x:xf numFmtId="0" fontId="4" fillId="2" borderId="1" xfId="0" applyFont="1" applyBorder="1" applyAlignment="1">
      <x:alignment horizontal="center" vertical="center" wrapText="1"/>
    </x:xf>
    <x:xf numFmtId="0" fontId="3" fillId="5" borderId="1" xfId="0" applyFont="1" applyFill="1" applyBorder="1" applyAlignment="1">
      <x:alignment vertical="center"/>
    </x:xf>
    <x:xf numFmtId="0" fontId="5" fillId="6" borderId="2" xfId="0" applyFont="1" applyFill="1" applyBorder="1" applyAlignment="1">
      <x:alignment vertical="top" wrapText="1"/>
    </x:xf>
    <x:xf numFmtId="164" fontId="3" fillId="5" borderId="1" xfId="0" applyNumberFormat="1" applyFont="1" applyBorder="1" applyAlignment="1">
      <x:alignment vertical="center"/>
    </x:xf>
    <x:xf numFmtId="0" fontId="5" fillId="0" borderId="2" xfId="0" applyFont="1" applyBorder="1" applyAlignment="1">
      <x:alignment vertical="top" wrapText="1"/>
    </x:xf>
    <x:xf numFmtId="0" fontId="5" fillId="4" borderId="2" xfId="0" applyFont="1" applyBorder="1" applyAlignment="1">
      <x:alignment vertical="top" wrapText="1"/>
    </x:xf>
    <x:xf numFmtId="0" fontId="5" fillId="6" borderId="3" xfId="0" applyFont="1" applyBorder="1" applyAlignment="1">
      <x:alignment vertical="top" wrapText="1"/>
    </x:xf>
    <x:xf numFmtId="0" fontId="5" fillId="0" borderId="3" xfId="0" applyFont="1" applyBorder="1" applyAlignment="1">
      <x:alignment vertical="top" wrapText="1"/>
    </x:xf>
    <x:xf numFmtId="0" fontId="5" fillId="4" borderId="3" xfId="0" applyFont="1" applyBorder="1" applyAlignment="1">
      <x:alignment vertical="top" wrapText="1"/>
    </x:xf>
    <x:xf numFmtId="1" fontId="3" fillId="5" borderId="1" xfId="0" applyNumberFormat="1" applyFont="1" applyBorder="1" applyAlignment="1">
      <x:alignment vertical="center"/>
    </x:xf>
    <x:xf numFmtId="0" fontId="6" fillId="7" borderId="1" xfId="0" applyFont="1" applyFill="1" applyBorder="1"/>
    <x:xf numFmtId="0" fontId="4" fillId="8" borderId="0" xfId="0" applyFont="1" applyFill="1" applyAlignment="1">
      <x:alignment vertical="center"/>
    </x:xf>
    <x:xf numFmtId="0" fontId="7" fillId="9" borderId="1" xfId="0" applyFont="1" applyFill="1" applyBorder="1" applyAlignment="1">
      <x:alignment horizontal="center" vertical="center" wrapText="1"/>
    </x:xf>
    <x:xf numFmtId="2" fontId="6" fillId="7" borderId="1" xfId="0" applyNumberFormat="1" applyFont="1" applyBorder="1"/>
    <x:xf numFmtId="0" fontId="7" fillId="9" borderId="1" xfId="0" applyFont="1" applyBorder="1"/>
    <x:xf numFmtId="0" fontId="8" fillId="6" borderId="1" xfId="0" applyFont="1" applyBorder="1" applyAlignment="1">
      <x:alignment horizontal="center" vertical="center" wrapText="1"/>
    </x:xf>
    <x:xf numFmtId="1" fontId="7" fillId="9" borderId="1" xfId="0" applyNumberFormat="1" applyFont="1" applyBorder="1"/>
    <x:xf numFmtId="0" fontId="5" fillId="10" borderId="1" xfId="0" applyFont="1" applyFill="1" applyBorder="1" applyAlignment="1">
      <x:alignment vertical="top" wrapText="1"/>
    </x:xf>
    <x:xf numFmtId="0" fontId="9" fillId="11" borderId="1" xfId="0" applyFont="1" applyFill="1" applyBorder="1"/>
    <x:xf numFmtId="0" fontId="10" fillId="6" borderId="1" xfId="0" applyFont="1" applyBorder="1" applyAlignment="1">
      <x:alignment horizontal="center" vertical="top" wrapText="1"/>
    </x:xf>
    <x:xf numFmtId="165" fontId="9" fillId="11" borderId="1" xfId="0" applyNumberFormat="1" applyFont="1" applyBorder="1"/>
    <x:xf numFmtId="0" fontId="4" fillId="12" borderId="0" xfId="0" applyFont="1" applyFill="1" applyAlignment="1">
      <x:alignment vertical="center"/>
    </x:xf>
    <x:xf numFmtId="0" fontId="6" fillId="7" borderId="1" xfId="0" applyFont="1" applyBorder="1" applyAlignment="1">
      <x:alignment vertical="top" wrapText="1"/>
    </x:xf>
    <x:xf numFmtId="0" fontId="11" fillId="0" borderId="2" xfId="0" applyFont="1" applyBorder="1" applyAlignment="1">
      <x:alignment vertical="top" wrapText="1"/>
    </x:xf>
    <x:xf numFmtId="0" fontId="11" fillId="0" borderId="3" xfId="0" applyFont="1" applyBorder="1" applyAlignment="1">
      <x:alignment vertical="top" wrapText="1"/>
    </x:xf>
    <x:xf numFmtId="0" fontId="5" fillId="0" borderId="3" xfId="0" applyFont="1" applyBorder="1" applyAlignment="1">
      <x:alignment vertical="top" wrapText="1"/>
    </x:xf>
    <x:xf numFmtId="0" fontId="5" fillId="10" borderId="1" xfId="0" applyFont="1" applyBorder="1" applyAlignment="1">
      <x:alignment vertical="top" wrapText="1"/>
    </x:xf>
    <x:xf numFmtId="0" fontId="4" fillId="13" borderId="0" xfId="0" applyFont="1" applyFill="1" applyAlignment="1">
      <x:alignment vertical="center"/>
    </x:xf>
    <x:xf numFmtId="0" fontId="4" fillId="14" borderId="0" xfId="0" applyFont="1" applyFill="1" applyAlignment="1">
      <x:alignment vertical="center"/>
    </x:xf>
    <x:xf numFmtId="0" fontId="0" fillId="15" borderId="0" xfId="0" applyNumberFormat="1" applyFont="1" applyFill="1" applyBorder="1" applyAlignment="1">
      <x:alignment vertical="bottom" wrapText="0"/>
    </x:xf>
    <x:xf numFmtId="0" fontId="1" fillId="15" borderId="0" xfId="0" applyNumberFormat="1" applyFont="1" applyFill="1" applyBorder="1" applyAlignment="1">
      <x:alignment vertical="bottom" wrapText="0"/>
    </x:xf>
    <x:xf numFmtId="0" fontId="1" fillId="15" borderId="0" xfId="0" applyNumberFormat="1" applyFont="1" applyFill="1" applyBorder="1" applyAlignment="1">
      <x:alignment horizontal="center" vertical="bottom" wrapText="0"/>
    </x:xf>
    <x:xf numFmtId="0" fontId="1" fillId="15" borderId="0" xfId="0" applyNumberFormat="1" applyFont="1" applyFill="1" applyBorder="1" applyAlignment="1">
      <x:alignment horizontal="center" vertical="center" wrapText="0"/>
    </x:xf>
    <x:xf numFmtId="0" fontId="0" fillId="16" borderId="0" xfId="0" applyNumberFormat="1" applyFont="1" applyFill="1" applyBorder="1" applyAlignment="1">
      <x:alignment vertical="bottom" wrapText="0"/>
    </x:xf>
    <x:xf numFmtId="0" fontId="2" fillId="16" borderId="0" xfId="0" applyNumberFormat="1" applyFont="1" applyFill="1" applyBorder="1" applyAlignment="1">
      <x:alignment vertical="bottom" wrapText="0"/>
    </x:xf>
    <x:xf numFmtId="0" fontId="2" fillId="16" borderId="0" xfId="0" applyNumberFormat="1" applyFont="1" applyFill="1" applyBorder="1" applyAlignment="1">
      <x:alignment vertical="bottom" wrapText="1"/>
    </x:xf>
    <x:xf numFmtId="0" fontId="2" fillId="16" borderId="0" xfId="0" applyNumberFormat="1" applyFont="1" applyFill="1" applyBorder="1" applyAlignment="1">
      <x:alignment vertical="center" wrapText="1"/>
    </x:xf>
    <x:xf numFmtId="0" fontId="0" fillId="17" borderId="0" xfId="0" applyNumberFormat="1" applyFont="1" applyFill="1" applyBorder="1" applyAlignment="1">
      <x:alignment vertical="bottom" wrapText="0"/>
    </x:xf>
    <x:xf numFmtId="0" fontId="3" fillId="17" borderId="0" xfId="0" applyNumberFormat="1" applyFont="1" applyFill="1" applyBorder="1" applyAlignment="1">
      <x:alignment vertical="bottom" wrapText="0"/>
    </x:xf>
    <x:xf numFmtId="0" fontId="3" fillId="17" borderId="1" xfId="0" applyNumberFormat="1" applyFont="1" applyFill="1" applyBorder="1" applyAlignment="1">
      <x:alignment vertical="bottom" wrapText="0"/>
    </x:xf>
    <x:xf numFmtId="0" fontId="3" fillId="17" borderId="1" xfId="0" applyNumberFormat="1" applyFont="1" applyFill="1" applyBorder="1" applyAlignment="1">
      <x:alignment vertical="center" wrapText="0"/>
    </x:xf>
    <x:xf numFmtId="0" fontId="3" fillId="18" borderId="1" xfId="0" applyNumberFormat="1" applyFont="1" applyFill="1" applyBorder="1" applyAlignment="1">
      <x:alignment vertical="center" wrapText="0"/>
    </x:xf>
    <x:xf numFmtId="164" fontId="3" fillId="18" borderId="1" xfId="0" applyNumberFormat="1" applyFont="1" applyFill="1" applyBorder="1" applyAlignment="1">
      <x:alignment vertical="center" wrapText="0"/>
    </x:xf>
    <x:xf numFmtId="0" fontId="0" fillId="19" borderId="0" xfId="0" applyNumberFormat="1" applyFont="1" applyFill="1" applyBorder="1" applyAlignment="1">
      <x:alignment vertical="bottom" wrapText="0"/>
    </x:xf>
    <x:xf numFmtId="0" fontId="4" fillId="19" borderId="0" xfId="0" applyNumberFormat="1" applyFont="1" applyFill="1" applyBorder="1" applyAlignment="1">
      <x:alignment vertical="bottom" wrapText="0"/>
    </x:xf>
    <x:xf numFmtId="0" fontId="4" fillId="19" borderId="0" xfId="0" applyNumberFormat="1" applyFont="1" applyFill="1" applyBorder="1" applyAlignment="1">
      <x:alignment vertical="center" wrapText="0"/>
    </x:xf>
    <x:xf numFmtId="0" fontId="0" fillId="20" borderId="0" xfId="0" applyNumberFormat="1" applyFont="1" applyFill="1" applyBorder="1" applyAlignment="1">
      <x:alignment vertical="bottom" wrapText="0"/>
    </x:xf>
    <x:xf numFmtId="0" fontId="7" fillId="20" borderId="0" xfId="0" applyNumberFormat="1" applyFont="1" applyFill="1" applyBorder="1" applyAlignment="1">
      <x:alignment vertical="bottom" wrapText="0"/>
    </x:xf>
    <x:xf numFmtId="0" fontId="7" fillId="20" borderId="1" xfId="0" applyNumberFormat="1" applyFont="1" applyFill="1" applyBorder="1" applyAlignment="1">
      <x:alignment vertical="bottom" wrapText="0"/>
    </x:xf>
    <x:xf numFmtId="0" fontId="7" fillId="20" borderId="1" xfId="0" applyNumberFormat="1" applyFont="1" applyFill="1" applyBorder="1" applyAlignment="1">
      <x:alignment vertical="bottom" wrapText="1"/>
    </x:xf>
    <x:xf numFmtId="0" fontId="7" fillId="20" borderId="1" xfId="0" applyNumberFormat="1" applyFont="1" applyFill="1" applyBorder="1" applyAlignment="1">
      <x:alignment horizontal="center" vertical="bottom" wrapText="1"/>
    </x:xf>
    <x:xf numFmtId="0" fontId="7" fillId="20" borderId="1" xfId="0" applyNumberFormat="1" applyFont="1" applyFill="1" applyBorder="1" applyAlignment="1">
      <x:alignment horizontal="center" vertical="center" wrapText="1"/>
    </x:xf>
    <x:xf numFmtId="0" fontId="5" fillId="0" borderId="0" xfId="0" applyNumberFormat="1" applyFont="1" applyFill="1" applyBorder="1" applyAlignment="1">
      <x:alignment vertical="bottom" wrapText="0"/>
    </x:xf>
    <x:xf numFmtId="0" fontId="5" fillId="0" borderId="2" xfId="0" applyNumberFormat="1" applyFont="1" applyFill="1" applyBorder="1" applyAlignment="1">
      <x:alignment vertical="bottom" wrapText="0"/>
    </x:xf>
    <x:xf numFmtId="0" fontId="5" fillId="0" borderId="3" xfId="0" applyNumberFormat="1" applyFont="1" applyFill="1" applyBorder="1" applyAlignment="1">
      <x:alignment vertical="bottom" wrapText="0"/>
    </x:xf>
    <x:xf numFmtId="0" fontId="5" fillId="0" borderId="2" xfId="0" applyNumberFormat="1" applyFont="1" applyFill="1" applyBorder="1" applyAlignment="1">
      <x:alignment vertical="bottom" wrapText="1"/>
    </x:xf>
    <x:xf numFmtId="0" fontId="5" fillId="0" borderId="3" xfId="0" applyNumberFormat="1" applyFont="1" applyFill="1" applyBorder="1" applyAlignment="1">
      <x:alignment vertical="bottom"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21" borderId="2" xfId="0" applyNumberFormat="1" applyFont="1" applyFill="1" applyBorder="1" applyAlignment="1">
      <x:alignment vertical="top" wrapText="1"/>
    </x:xf>
    <x:xf numFmtId="0" fontId="5" fillId="21" borderId="3" xfId="0" applyNumberFormat="1" applyFont="1" applyFill="1" applyBorder="1" applyAlignment="1">
      <x:alignment vertical="top" wrapText="1"/>
    </x:xf>
    <x:xf numFmtId="0" fontId="8" fillId="21" borderId="2" xfId="0" applyNumberFormat="1" applyFont="1" applyFill="1" applyBorder="1" applyAlignment="1">
      <x:alignment vertical="top" wrapText="1"/>
    </x:xf>
    <x:xf numFmtId="0" fontId="8" fillId="21" borderId="3" xfId="0" applyNumberFormat="1" applyFont="1" applyFill="1" applyBorder="1" applyAlignment="1">
      <x:alignment vertical="top" wrapText="1"/>
    </x:xf>
    <x:xf numFmtId="0" fontId="8" fillId="21" borderId="1" xfId="0" applyNumberFormat="1" applyFont="1" applyFill="1" applyBorder="1" applyAlignment="1">
      <x:alignment vertical="top" wrapText="1"/>
    </x:xf>
    <x:xf numFmtId="0" fontId="8" fillId="21" borderId="1" xfId="0" applyNumberFormat="1" applyFont="1" applyFill="1" applyBorder="1" applyAlignment="1">
      <x:alignment horizontal="center" vertical="top" wrapText="1"/>
    </x:xf>
    <x:xf numFmtId="0" fontId="8" fillId="21" borderId="1" xfId="0" applyNumberFormat="1" applyFont="1" applyFill="1" applyBorder="1" applyAlignment="1">
      <x:alignment horizontal="center" vertical="center" wrapText="1"/>
    </x:xf>
    <x:xf numFmtId="0" fontId="5" fillId="22" borderId="2" xfId="0" applyNumberFormat="1" applyFont="1" applyFill="1" applyBorder="1" applyAlignment="1">
      <x:alignment vertical="top" wrapText="1"/>
    </x:xf>
    <x:xf numFmtId="0" fontId="5" fillId="22" borderId="3" xfId="0" applyNumberFormat="1" applyFont="1" applyFill="1" applyBorder="1" applyAlignment="1">
      <x:alignment vertical="top" wrapText="1"/>
    </x:xf>
    <x:xf numFmtId="0" fontId="5" fillId="22" borderId="1" xfId="0" applyNumberFormat="1" applyFont="1" applyFill="1" applyBorder="1" applyAlignment="1">
      <x:alignment vertical="top" wrapText="1"/>
    </x:xf>
    <x:xf numFmtId="0" fontId="10" fillId="21" borderId="2" xfId="0" applyNumberFormat="1" applyFont="1" applyFill="1" applyBorder="1" applyAlignment="1">
      <x:alignment vertical="top" wrapText="1"/>
    </x:xf>
    <x:xf numFmtId="0" fontId="10" fillId="21" borderId="3" xfId="0" applyNumberFormat="1" applyFont="1" applyFill="1" applyBorder="1" applyAlignment="1">
      <x:alignment vertical="top" wrapText="1"/>
    </x:xf>
    <x:xf numFmtId="0" fontId="10" fillId="21" borderId="1" xfId="0" applyNumberFormat="1" applyFont="1" applyFill="1" applyBorder="1" applyAlignment="1">
      <x:alignment vertical="top" wrapText="1"/>
    </x:xf>
    <x:xf numFmtId="0" fontId="10" fillId="21" borderId="1" xfId="0" applyNumberFormat="1" applyFont="1" applyFill="1" applyBorder="1" applyAlignment="1">
      <x:alignment horizontal="center" vertical="top" wrapText="1"/>
    </x:xf>
    <x:xf numFmtId="0" fontId="0" fillId="23" borderId="0" xfId="0" applyNumberFormat="1" applyFont="1" applyFill="1" applyBorder="1" applyAlignment="1">
      <x:alignment vertical="bottom" wrapText="0"/>
    </x:xf>
    <x:xf numFmtId="0" fontId="4" fillId="23" borderId="0" xfId="0" applyNumberFormat="1" applyFont="1" applyFill="1" applyBorder="1" applyAlignment="1">
      <x:alignment vertical="bottom" wrapText="0"/>
    </x:xf>
    <x:xf numFmtId="0" fontId="4" fillId="23" borderId="0" xfId="0" applyNumberFormat="1" applyFont="1" applyFill="1" applyBorder="1" applyAlignment="1">
      <x:alignment vertical="center" wrapText="0"/>
    </x:xf>
    <x:xf numFmtId="0" fontId="0" fillId="24" borderId="0" xfId="0" applyNumberFormat="1" applyFont="1" applyFill="1" applyBorder="1" applyAlignment="1">
      <x:alignment vertical="bottom" wrapText="0"/>
    </x:xf>
    <x:xf numFmtId="0" fontId="4" fillId="24" borderId="0" xfId="0" applyNumberFormat="1" applyFont="1" applyFill="1" applyBorder="1" applyAlignment="1">
      <x:alignment vertical="bottom" wrapText="0"/>
    </x:xf>
    <x:xf numFmtId="0" fontId="4" fillId="24" borderId="0" xfId="0" applyNumberFormat="1" applyFont="1" applyFill="1" applyBorder="1" applyAlignment="1">
      <x:alignment vertical="center" wrapText="0"/>
    </x:xf>
    <x:xf numFmtId="0" fontId="0" fillId="25" borderId="0" xfId="0" applyNumberFormat="1" applyFont="1" applyFill="1" applyBorder="1" applyAlignment="1">
      <x:alignment vertical="bottom" wrapText="0"/>
    </x:xf>
    <x:xf numFmtId="0" fontId="4" fillId="25" borderId="0" xfId="0" applyNumberFormat="1" applyFont="1" applyFill="1" applyBorder="1" applyAlignment="1">
      <x:alignment vertical="bottom" wrapText="0"/>
    </x:xf>
    <x:xf numFmtId="0" fontId="4" fillId="25" borderId="0" xfId="0" applyNumberFormat="1" applyFont="1" applyFill="1" applyBorder="1" applyAlignment="1">
      <x:alignment vertical="center" wrapText="0"/>
    </x:xf>
    <x:xf numFmtId="0" fontId="4" fillId="15" borderId="0" xfId="0" applyNumberFormat="1" applyFont="1" applyFill="1" applyBorder="1" applyAlignment="1">
      <x:alignment vertical="bottom" wrapText="0"/>
    </x:xf>
    <x:xf numFmtId="0" fontId="4" fillId="15" borderId="1" xfId="0" applyNumberFormat="1" applyFont="1" applyFill="1" applyBorder="1" applyAlignment="1">
      <x:alignment vertical="bottom" wrapText="0"/>
    </x:xf>
    <x:xf numFmtId="0" fontId="4" fillId="15" borderId="1" xfId="0" applyNumberFormat="1" applyFont="1" applyFill="1" applyBorder="1" applyAlignment="1">
      <x:alignment vertical="bottom" wrapText="1"/>
    </x:xf>
    <x:xf numFmtId="0" fontId="4" fillId="15" borderId="1" xfId="0" applyNumberFormat="1" applyFont="1" applyFill="1" applyBorder="1" applyAlignment="1">
      <x:alignment horizontal="center" vertical="bottom" wrapText="1"/>
    </x:xf>
    <x:xf numFmtId="0" fontId="4" fillId="15" borderId="1" xfId="0" applyNumberFormat="1" applyFont="1" applyFill="1" applyBorder="1" applyAlignment="1">
      <x:alignment horizontal="center" vertical="center" wrapText="1"/>
    </x:xf>
    <x:xf numFmtId="0" fontId="5" fillId="17" borderId="2" xfId="0" applyNumberFormat="1" applyFont="1" applyFill="1" applyBorder="1" applyAlignment="1">
      <x:alignment vertical="top" wrapText="1"/>
    </x:xf>
    <x:xf numFmtId="0" fontId="5" fillId="17" borderId="3" xfId="0" applyNumberFormat="1" applyFont="1" applyFill="1" applyBorder="1" applyAlignment="1">
      <x:alignment vertical="top" wrapText="1"/>
    </x:xf>
    <x:xf numFmtId="0" fontId="0" fillId="0" borderId="2" xfId="0" applyNumberFormat="1" applyFont="1" applyFill="1" applyBorder="1" applyAlignment="1">
      <x:alignment vertical="bottom" wrapText="0"/>
    </x:xf>
    <x:xf numFmtId="0" fontId="0" fillId="0" borderId="3" xfId="0" applyNumberFormat="1" applyFont="1" applyFill="1" applyBorder="1" applyAlignment="1">
      <x:alignment vertical="bottom" wrapText="0"/>
    </x:xf>
    <x:xf numFmtId="0" fontId="0" fillId="0" borderId="2" xfId="0" applyNumberFormat="1" applyFont="1" applyFill="1" applyBorder="1" applyAlignment="1">
      <x:alignment vertical="bottom" wrapText="1"/>
    </x:xf>
    <x:xf numFmtId="0" fontId="0" fillId="0" borderId="3" xfId="0" applyNumberFormat="1" applyFont="1" applyFill="1" applyBorder="1" applyAlignment="1">
      <x:alignment vertical="bottom"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20" borderId="2" xfId="0" applyNumberFormat="1" applyFont="1" applyFill="1" applyBorder="1" applyAlignment="1">
      <x:alignment vertical="top" wrapText="1"/>
    </x:xf>
    <x:xf numFmtId="0" fontId="0" fillId="20" borderId="3"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1" xfId="0" applyNumberFormat="1" applyFont="1" applyFill="1" applyBorder="1" applyAlignment="1">
      <x:alignment vertical="top" wrapText="1"/>
    </x:xf>
  </x:cellXfs>
  <x:cellStyles count="1">
    <x:cellStyle name="Normal" xfId="0"/>
  </x:cellStyles>
  <x:dxfs count="3">
    <x:dxf>
      <x:font>
        <x:color rgb="FFC00000"/>
      </x:font>
      <x:fill>
        <x:patternFill>
          <x:bgColor rgb="FFFCE4D6"/>
        </x:patternFill>
      </x:fill>
      <x:border/>
    </x:dxf>
    <x:dxf>
      <x:font>
        <x:b/>
        <x:color rgb="FFC00000"/>
      </x:font>
      <x:fill>
        <x:patternFill>
          <x:bgColor rgb="FFFCE4D6"/>
        </x:patternFill>
      </x:fill>
      <x:border/>
    </x:dxf>
    <x:dxf>
      <x:font>
        <x:b/>
        <x:color rgb="FFC00000"/>
      </x:font>
      <x:fill>
        <x:patternFill>
          <x:bgColor rgb="FFF4CCCC"/>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fdb10aea15714235" /><Relationship Type="http://schemas.openxmlformats.org/officeDocument/2006/relationships/theme" Target="/xl/theme/theme1.xml" Id="R258992b0e90946a5" /><Relationship Type="http://schemas.openxmlformats.org/officeDocument/2006/relationships/sharedStrings" Target="/xl/sharedStrings.xml" Id="Rfb983e65c07e48cc" /><Relationship Type="http://schemas.openxmlformats.org/officeDocument/2006/relationships/worksheet" Target="/xl/worksheets/sheet1.xml" Id="Re59a7769b38f4a78" /><Relationship Type="http://schemas.openxmlformats.org/officeDocument/2006/relationships/worksheet" Target="/xl/worksheets/sheet2.xml" Id="R22c8f3796c56440d" /><Relationship Type="http://schemas.openxmlformats.org/officeDocument/2006/relationships/worksheet" Target="/xl/worksheets/sheet3.xml" Id="Rfc4d8d778ef5476c" /><Relationship Type="http://schemas.openxmlformats.org/officeDocument/2006/relationships/worksheet" Target="/xl/worksheets/sheet4.xml" Id="R2888071e67594e6d"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1" width="10" customWidth="1"/>
    <x:col min="2" max="2" width="54" customWidth="1"/>
    <x:col min="3" max="3" width="18" customWidth="1"/>
    <x:col min="4" max="4" width="35" customWidth="1"/>
    <x:col min="5" max="5" width="25" customWidth="1"/>
    <x:col min="6" max="6" width="32" customWidth="1"/>
    <x:col min="7" max="7" width="13" customWidth="1"/>
    <x:col min="8" max="26" width="8.630000114440918" customWidth="1"/>
  </x:cols>
  <x:sheetData>
    <x:row r="1" ht="31.5" customHeight="1">
      <x:c r="A1" s="1" t="s">
        <x:v>0</x:v>
      </x:c>
    </x:row>
    <x:row r="2" ht="33.75" customHeight="1">
      <x:c r="A2" s="2" t="s">
        <x:v>1</x:v>
      </x:c>
    </x:row>
    <x:row r="3">
      <x:c r="A3" s="3" t="s">
        <x:v>2</x:v>
      </x:c>
      <x:c r="B3" s="5">
        <x:v>2.0</x:v>
      </x:c>
      <x:c r="C3" s="3" t="s">
        <x:v>3</x:v>
      </x:c>
      <x:c r="D3" s="7"/>
      <x:c r="E3" s="3" t="s">
        <x:v>4</x:v>
      </x:c>
      <x:c r="F3" s="13" t="str">
        <x:f>IF(COUNTA(E16:E25)=0,"",SUM(G16:G25))</x:f>
      </x:c>
      <x:c r="G3" s="3"/>
    </x:row>
    <x:row r="5" ht="24" customHeight="1">
      <x:c r="A5" s="15" t="s">
        <x:v>5</x:v>
      </x:c>
    </x:row>
    <x:row r="6" ht="30" customHeight="1">
      <x:c r="A6" s="16" t="s">
        <x:v>6</x:v>
      </x:c>
      <x:c r="B6" s="16" t="s">
        <x:v>7</x:v>
      </x:c>
      <x:c r="C6" s="16" t="s">
        <x:v>8</x:v>
      </x:c>
      <x:c r="D6" s="16" t="s">
        <x:v>9</x:v>
      </x:c>
      <x:c r="E6" s="16" t="s">
        <x:v>10</x:v>
      </x:c>
      <x:c r="F6" s="16" t="s">
        <x:v>11</x:v>
      </x:c>
      <x:c r="G6" s="16" t="s">
        <x:v>12</x:v>
      </x:c>
    </x:row>
    <x:row r="7" ht="43.5" customHeight="1">
      <x:c r="A7" s="19" t="s">
        <x:v>13</x:v>
      </x:c>
      <x:c r="B7" s="8" t="s">
        <x:v>14</x:v>
      </x:c>
      <x:c r="C7" s="8" t="s">
        <x:v>15</x:v>
      </x:c>
      <x:c r="D7" s="8" t="s">
        <x:v>16</x:v>
      </x:c>
      <x:c r="E7" s="21"/>
      <x:c r="F7" s="8"/>
      <x:c r="G7" s="23"/>
    </x:row>
    <x:row r="8" ht="43.5" customHeight="1">
      <x:c r="A8" s="19" t="s">
        <x:v>17</x:v>
      </x:c>
      <x:c r="B8" s="11" t="s">
        <x:v>18</x:v>
      </x:c>
      <x:c r="C8" s="11" t="s">
        <x:v>15</x:v>
      </x:c>
      <x:c r="D8" s="11" t="s">
        <x:v>19</x:v>
      </x:c>
      <x:c r="E8" s="21"/>
      <x:c r="F8" s="11"/>
      <x:c r="G8" s="23"/>
    </x:row>
    <x:row r="9" ht="43.5" customHeight="1">
      <x:c r="A9" s="19" t="s">
        <x:v>20</x:v>
      </x:c>
      <x:c r="B9" s="11" t="s">
        <x:v>21</x:v>
      </x:c>
      <x:c r="C9" s="11" t="s">
        <x:v>15</x:v>
      </x:c>
      <x:c r="D9" s="11" t="s">
        <x:v>19</x:v>
      </x:c>
      <x:c r="E9" s="21"/>
      <x:c r="F9" s="11"/>
      <x:c r="G9" s="23"/>
    </x:row>
    <x:row r="10" ht="43.5" customHeight="1">
      <x:c r="A10" s="19" t="s">
        <x:v>22</x:v>
      </x:c>
      <x:c r="B10" s="11" t="s">
        <x:v>23</x:v>
      </x:c>
      <x:c r="C10" s="11" t="s">
        <x:v>24</x:v>
      </x:c>
      <x:c r="D10" s="11" t="s">
        <x:v>25</x:v>
      </x:c>
      <x:c r="E10" s="21"/>
      <x:c r="F10" s="11"/>
      <x:c r="G10" s="23"/>
    </x:row>
    <x:row r="11" ht="43.5" customHeight="1">
      <x:c r="A11" s="19" t="s">
        <x:v>26</x:v>
      </x:c>
      <x:c r="B11" s="11" t="s">
        <x:v>27</x:v>
      </x:c>
      <x:c r="C11" s="11" t="s">
        <x:v>24</x:v>
      </x:c>
      <x:c r="D11" s="11" t="s">
        <x:v>28</x:v>
      </x:c>
      <x:c r="E11" s="21"/>
      <x:c r="F11" s="11"/>
      <x:c r="G11" s="23"/>
    </x:row>
    <x:row r="12" ht="43.5" customHeight="1">
      <x:c r="A12" s="19" t="s">
        <x:v>29</x:v>
      </x:c>
      <x:c r="B12" s="11" t="s">
        <x:v>30</x:v>
      </x:c>
      <x:c r="C12" s="11" t="s">
        <x:v>31</x:v>
      </x:c>
      <x:c r="D12" s="11" t="s">
        <x:v>32</x:v>
      </x:c>
      <x:c r="E12" s="21"/>
      <x:c r="F12" s="11"/>
      <x:c r="G12" s="23"/>
    </x:row>
    <x:row r="14" ht="24" customHeight="1">
      <x:c r="A14" s="15" t="s">
        <x:v>33</x:v>
      </x:c>
    </x:row>
    <x:row r="15" ht="30" customHeight="1">
      <x:c r="A15" s="16" t="s">
        <x:v>6</x:v>
      </x:c>
      <x:c r="B15" s="16" t="s">
        <x:v>7</x:v>
      </x:c>
      <x:c r="C15" s="16" t="s">
        <x:v>8</x:v>
      </x:c>
      <x:c r="D15" s="16" t="s">
        <x:v>9</x:v>
      </x:c>
      <x:c r="E15" s="16" t="s">
        <x:v>10</x:v>
      </x:c>
      <x:c r="F15" s="16" t="s">
        <x:v>11</x:v>
      </x:c>
      <x:c r="G15" s="16" t="s">
        <x:v>12</x:v>
      </x:c>
    </x:row>
    <x:row r="16" ht="43.5" customHeight="1">
      <x:c r="A16" s="19" t="s">
        <x:v>34</x:v>
      </x:c>
      <x:c r="B16" s="8" t="s">
        <x:v>35</x:v>
      </x:c>
      <x:c r="C16" s="8" t="s">
        <x:v>36</x:v>
      </x:c>
      <x:c r="D16" s="8" t="s">
        <x:v>37</x:v>
      </x:c>
      <x:c r="E16" s="30"/>
      <x:c r="F16" s="8"/>
      <x:c r="G16" s="23" t="str">
        <x:f>IF(E16="","",IF(E16='Lý do'!$F$8,1,0))</x:f>
      </x:c>
    </x:row>
    <x:row r="17" ht="43.5" customHeight="1">
      <x:c r="A17" s="19" t="s">
        <x:v>38</x:v>
      </x:c>
      <x:c r="B17" s="11" t="s">
        <x:v>39</x:v>
      </x:c>
      <x:c r="C17" s="11" t="s">
        <x:v>36</x:v>
      </x:c>
      <x:c r="D17" s="11" t="s">
        <x:v>37</x:v>
      </x:c>
      <x:c r="E17" s="21"/>
      <x:c r="F17" s="11"/>
      <x:c r="G17" s="23" t="str">
        <x:f>IF(E17="","",IF(E17='Lý do'!$F$9,1,0))</x:f>
      </x:c>
    </x:row>
    <x:row r="18" ht="43.5" customHeight="1">
      <x:c r="A18" s="19" t="s">
        <x:v>40</x:v>
      </x:c>
      <x:c r="B18" s="11" t="s">
        <x:v>41</x:v>
      </x:c>
      <x:c r="C18" s="11" t="s">
        <x:v>36</x:v>
      </x:c>
      <x:c r="D18" s="11" t="s">
        <x:v>37</x:v>
      </x:c>
      <x:c r="E18" s="21"/>
      <x:c r="F18" s="11"/>
      <x:c r="G18" s="23" t="str">
        <x:f>IF(E18="","",IF(E18='Lý do'!$F$10,1,0))</x:f>
      </x:c>
    </x:row>
    <x:row r="19" ht="43.5" customHeight="1">
      <x:c r="A19" s="19" t="s">
        <x:v>42</x:v>
      </x:c>
      <x:c r="B19" s="29" t="s">
        <x:v>43</x:v>
      </x:c>
      <x:c r="C19" s="11" t="s">
        <x:v>36</x:v>
      </x:c>
      <x:c r="D19" s="11" t="s">
        <x:v>37</x:v>
      </x:c>
      <x:c r="E19" s="21"/>
      <x:c r="F19" s="11"/>
      <x:c r="G19" s="23" t="str">
        <x:f>IF(E19="","",IF(E19='Lý do'!$F$11,1,0))</x:f>
      </x:c>
    </x:row>
    <x:row r="20" ht="43.5" customHeight="1">
      <x:c r="A20" s="19" t="s">
        <x:v>44</x:v>
      </x:c>
      <x:c r="B20" s="29" t="s">
        <x:v>45</x:v>
      </x:c>
      <x:c r="C20" s="11" t="s">
        <x:v>36</x:v>
      </x:c>
      <x:c r="D20" s="11" t="s">
        <x:v>37</x:v>
      </x:c>
      <x:c r="E20" s="21"/>
      <x:c r="F20" s="11"/>
      <x:c r="G20" s="23" t="str">
        <x:f>IF(E20="","",IF(E20='Lý do'!$F$12,1,0))</x:f>
      </x:c>
    </x:row>
    <x:row r="21" ht="43.5" customHeight="1">
      <x:c r="A21" s="19" t="s">
        <x:v>46</x:v>
      </x:c>
      <x:c r="B21" s="11" t="s">
        <x:v>47</x:v>
      </x:c>
      <x:c r="C21" s="11" t="s">
        <x:v>36</x:v>
      </x:c>
      <x:c r="D21" s="11" t="s">
        <x:v>37</x:v>
      </x:c>
      <x:c r="E21" s="21"/>
      <x:c r="F21" s="11"/>
      <x:c r="G21" s="23" t="str">
        <x:f>IF(E21="","",IF(E21='Lý do'!$F$13,1,0))</x:f>
      </x:c>
    </x:row>
    <x:row r="22" ht="43.5" customHeight="1">
      <x:c r="A22" s="19" t="s">
        <x:v>48</x:v>
      </x:c>
      <x:c r="B22" s="11" t="s">
        <x:v>49</x:v>
      </x:c>
      <x:c r="C22" s="11" t="s">
        <x:v>36</x:v>
      </x:c>
      <x:c r="D22" s="11" t="s">
        <x:v>37</x:v>
      </x:c>
      <x:c r="E22" s="21"/>
      <x:c r="F22" s="11"/>
      <x:c r="G22" s="23" t="str">
        <x:f>IF(E22="","",IF(E22='Lý do'!$F$14,1,0))</x:f>
      </x:c>
    </x:row>
    <x:row r="23" ht="43.5" customHeight="1">
      <x:c r="A23" s="19" t="s">
        <x:v>50</x:v>
      </x:c>
      <x:c r="B23" s="11" t="s">
        <x:v>51</x:v>
      </x:c>
      <x:c r="C23" s="11" t="s">
        <x:v>36</x:v>
      </x:c>
      <x:c r="D23" s="11" t="s">
        <x:v>37</x:v>
      </x:c>
      <x:c r="E23" s="21"/>
      <x:c r="F23" s="11"/>
      <x:c r="G23" s="23" t="str">
        <x:f>IF(E23="","",IF(E23='Lý do'!$F$15,1,0))</x:f>
      </x:c>
    </x:row>
    <x:row r="24" ht="81.75" customHeight="1">
      <x:c r="A24" s="19" t="s">
        <x:v>52</x:v>
      </x:c>
      <x:c r="B24" s="11" t="s">
        <x:v>53</x:v>
      </x:c>
      <x:c r="C24" s="11" t="s">
        <x:v>54</x:v>
      </x:c>
      <x:c r="D24" s="11" t="s">
        <x:v>55</x:v>
      </x:c>
      <x:c r="E24" s="21"/>
      <x:c r="F24" s="11"/>
      <x:c r="G24" s="23" t="str">
        <x:f>IF(E24="","",IF(E24='Lý do'!$F$16,1,0))</x:f>
      </x:c>
    </x:row>
    <x:row r="25" ht="81.75" customHeight="1">
      <x:c r="A25" s="19" t="s">
        <x:v>56</x:v>
      </x:c>
      <x:c r="B25" s="11" t="s">
        <x:v>57</x:v>
      </x:c>
      <x:c r="C25" s="11" t="s">
        <x:v>54</x:v>
      </x:c>
      <x:c r="D25" s="11" t="s">
        <x:v>58</x:v>
      </x:c>
      <x:c r="E25" s="21"/>
      <x:c r="F25" s="11"/>
      <x:c r="G25" s="23" t="str">
        <x:f>IF(E25="","",IF(E25='Lý do'!$F$17,1,0))</x:f>
      </x:c>
    </x:row>
    <x:row r="26" ht="15.75" customHeight="1"/>
    <x:row r="27" ht="24" customHeight="1">
      <x:c r="A27" s="25" t="s">
        <x:v>59</x:v>
      </x:c>
    </x:row>
    <x:row r="28" ht="30" customHeight="1">
      <x:c r="A28" s="16" t="s">
        <x:v>6</x:v>
      </x:c>
      <x:c r="B28" s="16" t="s">
        <x:v>7</x:v>
      </x:c>
      <x:c r="C28" s="16" t="s">
        <x:v>8</x:v>
      </x:c>
      <x:c r="D28" s="16" t="s">
        <x:v>9</x:v>
      </x:c>
      <x:c r="E28" s="16" t="s">
        <x:v>10</x:v>
      </x:c>
      <x:c r="F28" s="16" t="s">
        <x:v>11</x:v>
      </x:c>
      <x:c r="G28" s="16" t="s">
        <x:v>12</x:v>
      </x:c>
    </x:row>
    <x:row r="29" ht="43.5" customHeight="1">
      <x:c r="A29" s="19" t="s">
        <x:v>60</x:v>
      </x:c>
      <x:c r="B29" s="8" t="s">
        <x:v>61</x:v>
      </x:c>
      <x:c r="C29" s="8" t="s">
        <x:v>62</x:v>
      </x:c>
      <x:c r="D29" s="8" t="s">
        <x:v>63</x:v>
      </x:c>
      <x:c r="E29" s="21"/>
      <x:c r="F29" s="8"/>
      <x:c r="G29" s="23" t="str">
        <x:f t="shared" ref="G29:G31" si="1">IF(E29="","",VALUE(E29))</x:f>
      </x:c>
    </x:row>
    <x:row r="30" ht="43.5" customHeight="1">
      <x:c r="A30" s="19" t="s">
        <x:v>64</x:v>
      </x:c>
      <x:c r="B30" s="11" t="s">
        <x:v>65</x:v>
      </x:c>
      <x:c r="C30" s="11" t="s">
        <x:v>62</x:v>
      </x:c>
      <x:c r="D30" s="11" t="s">
        <x:v>63</x:v>
      </x:c>
      <x:c r="E30" s="21"/>
      <x:c r="F30" s="11"/>
      <x:c r="G30" s="23" t="str">
        <x:f t="shared" si="1"/>
      </x:c>
    </x:row>
    <x:row r="31" ht="43.5" customHeight="1">
      <x:c r="A31" s="19" t="s">
        <x:v>66</x:v>
      </x:c>
      <x:c r="B31" s="11" t="s">
        <x:v>67</x:v>
      </x:c>
      <x:c r="C31" s="11" t="s">
        <x:v>62</x:v>
      </x:c>
      <x:c r="D31" s="11" t="s">
        <x:v>63</x:v>
      </x:c>
      <x:c r="E31" s="21"/>
      <x:c r="F31" s="11"/>
      <x:c r="G31" s="23" t="str">
        <x:f t="shared" si="1"/>
      </x:c>
    </x:row>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G1"/>
    <x:mergeCell ref="A2:G2"/>
    <x:mergeCell ref="A5:G5"/>
    <x:mergeCell ref="A14:G14"/>
    <x:mergeCell ref="A27:G27"/>
  </x:mergeCells>
  <x:conditionalFormatting sqref="E16:E25">
    <x:cfRule type="containsText" dxfId="0" priority="1" operator="containsText" text="Không chắc">
      <x:formula>NOT(ISERROR(SEARCH(("Không chắc"),(E16))))</x:formula>
    </x:cfRule>
  </x:conditionalFormatting>
  <x:dataValidations count="8">
    <x:dataValidation type="list" allowBlank="1" sqref="E11">
      <x:formula1>"Chưa từng dùng VR,Không bao giờ,Hiếm khi,Thỉnh thoảng,Thường xuyên"</x:formula1>
    </x:dataValidation>
    <x:dataValidation type="list" allowBlank="1" sqref="E29:E31">
      <x:formula1>"1,2,3,4,5"</x:formula1>
    </x:dataValidation>
    <x:dataValidation type="list" allowBlank="1" sqref="E8:E9">
      <x:formula1>"Có,Không,Không nhớ rõ"</x:formula1>
    </x:dataValidation>
    <x:dataValidation type="list" allowBlank="1" sqref="E10">
      <x:formula1>"Không bao giờ,Hiếm khi,Thỉnh thoảng,Thường xuyên"</x:formula1>
    </x:dataValidation>
    <x:dataValidation type="list" allowBlank="1" sqref="E7">
      <x:formula1>"Chưa từng,1–2 lần,3–5 lần,Trên 5 lần,Sử dụng thường xuyên"</x:formula1>
    </x:dataValidation>
    <x:dataValidation type="list" allowBlank="1" sqref="E24:E25">
      <x:formula1>"A,B,C,D"</x:formula1>
    </x:dataValidation>
    <x:dataValidation type="list" allowBlank="1" sqref="E12">
      <x:formula1>"Không có,Nhẹ,Vừa,Nặng"</x:formula1>
    </x:dataValidation>
    <x:dataValidation type="list" allowBlank="1" sqref="E16:E23">
      <x:formula1>"Đúng,Sai,Không chắc"</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5"/>
  <x:cols>
    <x:col min="1" max="1" width="10" customWidth="1"/>
    <x:col min="2" max="2" width="54" customWidth="1"/>
    <x:col min="3" max="3" width="18" customWidth="1"/>
    <x:col min="4" max="4" width="35" customWidth="1"/>
    <x:col min="5" max="5" width="25" customWidth="1"/>
    <x:col min="6" max="6" width="32" customWidth="1"/>
    <x:col min="7" max="7" width="13" customWidth="1"/>
    <x:col min="8" max="26" width="8.630000114440918" customWidth="1"/>
  </x:cols>
  <x:sheetData>
    <x:row r="1" ht="31.5" customHeight="1">
      <x:c r="A1" s="1" t="s">
        <x:v>68</x:v>
      </x:c>
    </x:row>
    <x:row r="2" ht="33.75" customHeight="1">
      <x:c r="A2" s="2" t="s">
        <x:v>69</x:v>
      </x:c>
    </x:row>
    <x:row r="3">
      <x:c r="A3" s="3" t="s">
        <x:v>2</x:v>
      </x:c>
      <x:c r="B3" s="5">
        <x:v>2.0</x:v>
      </x:c>
      <x:c r="C3" s="3" t="s">
        <x:v>3</x:v>
      </x:c>
      <x:c r="D3" s="7"/>
      <x:c r="E3" s="3" t="s">
        <x:v>4</x:v>
      </x:c>
      <x:c r="F3" s="5" t="str">
        <x:f>IF(COUNTA(E7:E16)=0,"",SUM(G7:G16))</x:f>
      </x:c>
      <x:c r="G3" s="3"/>
    </x:row>
    <x:row r="4">
      <x:c r="A4" s="14" t="s">
        <x:v>70</x:v>
      </x:c>
      <x:c r="B4" s="14"/>
      <x:c r="C4" s="17" t="str">
        <x:f>IF(OR(COUNT(G20:G22)&lt;3,COUNT('Pre-test'!G29:G31)&lt;3),"",AVERAGE(G20:G22)-AVERAGE('Pre-test'!G29:G31))</x:f>
      </x:c>
      <x:c r="D4" s="18" t="s">
        <x:v>71</x:v>
      </x:c>
      <x:c r="E4" s="20" t="str">
        <x:f>IF(OR(F3="",'Pre-test'!F3=""),"",F3-'Pre-test'!F3)</x:f>
      </x:c>
      <x:c r="F4" s="22" t="s">
        <x:v>72</x:v>
      </x:c>
      <x:c r="G4" s="24" t="str">
        <x:f>IF(COUNTA(E33:E42)&lt;10,"",SUM(G33:G42)*2.5)</x:f>
      </x:c>
    </x:row>
    <x:row r="5" ht="24" customHeight="1">
      <x:c r="A5" s="15" t="s">
        <x:v>73</x:v>
      </x:c>
    </x:row>
    <x:row r="6" ht="30" customHeight="1">
      <x:c r="A6" s="16" t="s">
        <x:v>6</x:v>
      </x:c>
      <x:c r="B6" s="16" t="s">
        <x:v>7</x:v>
      </x:c>
      <x:c r="C6" s="16" t="s">
        <x:v>8</x:v>
      </x:c>
      <x:c r="D6" s="16" t="s">
        <x:v>9</x:v>
      </x:c>
      <x:c r="E6" s="16" t="s">
        <x:v>10</x:v>
      </x:c>
      <x:c r="F6" s="16" t="s">
        <x:v>11</x:v>
      </x:c>
      <x:c r="G6" s="16" t="s">
        <x:v>12</x:v>
      </x:c>
    </x:row>
    <x:row r="7" ht="43.5" customHeight="1">
      <x:c r="A7" s="19" t="s">
        <x:v>34</x:v>
      </x:c>
      <x:c r="B7" s="8" t="s">
        <x:v>35</x:v>
      </x:c>
      <x:c r="C7" s="8" t="s">
        <x:v>36</x:v>
      </x:c>
      <x:c r="D7" s="8" t="s">
        <x:v>37</x:v>
      </x:c>
      <x:c r="E7" s="21"/>
      <x:c r="F7" s="8"/>
      <x:c r="G7" s="23" t="str">
        <x:f>IF(E7="","",IF(E7='Lý do'!$F$18,1,0))</x:f>
      </x:c>
    </x:row>
    <x:row r="8" ht="43.5" customHeight="1">
      <x:c r="A8" s="19" t="s">
        <x:v>38</x:v>
      </x:c>
      <x:c r="B8" s="11" t="s">
        <x:v>39</x:v>
      </x:c>
      <x:c r="C8" s="11" t="s">
        <x:v>36</x:v>
      </x:c>
      <x:c r="D8" s="11" t="s">
        <x:v>37</x:v>
      </x:c>
      <x:c r="E8" s="21"/>
      <x:c r="F8" s="11"/>
      <x:c r="G8" s="23" t="str">
        <x:f>IF(E8="","",IF(E8='Lý do'!$F$19,1,0))</x:f>
      </x:c>
    </x:row>
    <x:row r="9" ht="43.5" customHeight="1">
      <x:c r="A9" s="19" t="s">
        <x:v>40</x:v>
      </x:c>
      <x:c r="B9" s="11" t="s">
        <x:v>41</x:v>
      </x:c>
      <x:c r="C9" s="11" t="s">
        <x:v>36</x:v>
      </x:c>
      <x:c r="D9" s="11" t="s">
        <x:v>37</x:v>
      </x:c>
      <x:c r="E9" s="21"/>
      <x:c r="F9" s="11"/>
      <x:c r="G9" s="23" t="str">
        <x:f>IF(E9="","",IF(E9='Lý do'!$F$20,1,0))</x:f>
      </x:c>
    </x:row>
    <x:row r="10" ht="43.5" customHeight="1">
      <x:c r="A10" s="19" t="s">
        <x:v>42</x:v>
      </x:c>
      <x:c r="B10" s="29" t="s">
        <x:v>43</x:v>
      </x:c>
      <x:c r="C10" s="11" t="s">
        <x:v>36</x:v>
      </x:c>
      <x:c r="D10" s="11" t="s">
        <x:v>37</x:v>
      </x:c>
      <x:c r="E10" s="21"/>
      <x:c r="F10" s="11"/>
      <x:c r="G10" s="23" t="str">
        <x:f>IF(E10="","",IF(E10='Lý do'!$F$21,1,0))</x:f>
      </x:c>
    </x:row>
    <x:row r="11" ht="43.5" customHeight="1">
      <x:c r="A11" s="19" t="s">
        <x:v>44</x:v>
      </x:c>
      <x:c r="B11" s="29" t="s">
        <x:v>45</x:v>
      </x:c>
      <x:c r="C11" s="11" t="s">
        <x:v>36</x:v>
      </x:c>
      <x:c r="D11" s="11" t="s">
        <x:v>37</x:v>
      </x:c>
      <x:c r="E11" s="21"/>
      <x:c r="F11" s="11"/>
      <x:c r="G11" s="23" t="str">
        <x:f>IF(E11="","",IF(E11='Lý do'!$F$22,1,0))</x:f>
      </x:c>
    </x:row>
    <x:row r="12" ht="43.5" customHeight="1">
      <x:c r="A12" s="19" t="s">
        <x:v>46</x:v>
      </x:c>
      <x:c r="B12" s="11" t="s">
        <x:v>47</x:v>
      </x:c>
      <x:c r="C12" s="11" t="s">
        <x:v>36</x:v>
      </x:c>
      <x:c r="D12" s="11" t="s">
        <x:v>37</x:v>
      </x:c>
      <x:c r="E12" s="21"/>
      <x:c r="F12" s="11"/>
      <x:c r="G12" s="23" t="str">
        <x:f>IF(E12="","",IF(E12='Lý do'!$F$23,1,0))</x:f>
      </x:c>
    </x:row>
    <x:row r="13" ht="43.5" customHeight="1">
      <x:c r="A13" s="19" t="s">
        <x:v>48</x:v>
      </x:c>
      <x:c r="B13" s="11" t="s">
        <x:v>49</x:v>
      </x:c>
      <x:c r="C13" s="11" t="s">
        <x:v>36</x:v>
      </x:c>
      <x:c r="D13" s="11" t="s">
        <x:v>37</x:v>
      </x:c>
      <x:c r="E13" s="21"/>
      <x:c r="F13" s="11"/>
      <x:c r="G13" s="23" t="str">
        <x:f>IF(E13="","",IF(E13='Lý do'!$F$24,1,0))</x:f>
      </x:c>
    </x:row>
    <x:row r="14" ht="43.5" customHeight="1">
      <x:c r="A14" s="19" t="s">
        <x:v>50</x:v>
      </x:c>
      <x:c r="B14" s="11" t="s">
        <x:v>51</x:v>
      </x:c>
      <x:c r="C14" s="11" t="s">
        <x:v>36</x:v>
      </x:c>
      <x:c r="D14" s="11" t="s">
        <x:v>37</x:v>
      </x:c>
      <x:c r="E14" s="21"/>
      <x:c r="F14" s="11"/>
      <x:c r="G14" s="23" t="str">
        <x:f>IF(E14="","",IF(E14='Lý do'!$F$25,1,0))</x:f>
      </x:c>
    </x:row>
    <x:row r="15" ht="81.75" customHeight="1">
      <x:c r="A15" s="19" t="s">
        <x:v>52</x:v>
      </x:c>
      <x:c r="B15" s="11" t="s">
        <x:v>53</x:v>
      </x:c>
      <x:c r="C15" s="11" t="s">
        <x:v>54</x:v>
      </x:c>
      <x:c r="D15" s="11" t="s">
        <x:v>74</x:v>
      </x:c>
      <x:c r="E15" s="21"/>
      <x:c r="F15" s="11"/>
      <x:c r="G15" s="23" t="str">
        <x:f>IF(E15="","",IF(E15='Lý do'!$F$26,1,0))</x:f>
      </x:c>
    </x:row>
    <x:row r="16" ht="81.75" customHeight="1">
      <x:c r="A16" s="19" t="s">
        <x:v>56</x:v>
      </x:c>
      <x:c r="B16" s="11" t="s">
        <x:v>57</x:v>
      </x:c>
      <x:c r="C16" s="11" t="s">
        <x:v>54</x:v>
      </x:c>
      <x:c r="D16" s="11" t="s">
        <x:v>75</x:v>
      </x:c>
      <x:c r="E16" s="21"/>
      <x:c r="F16" s="11"/>
      <x:c r="G16" s="23" t="str">
        <x:f>IF(E16="","",IF(E16='Lý do'!$F$27,1,0))</x:f>
      </x:c>
    </x:row>
    <x:row r="18" ht="24" customHeight="1">
      <x:c r="A18" s="25" t="s">
        <x:v>76</x:v>
      </x:c>
    </x:row>
    <x:row r="19" ht="30" customHeight="1">
      <x:c r="A19" s="16" t="s">
        <x:v>6</x:v>
      </x:c>
      <x:c r="B19" s="16" t="s">
        <x:v>7</x:v>
      </x:c>
      <x:c r="C19" s="16" t="s">
        <x:v>8</x:v>
      </x:c>
      <x:c r="D19" s="16" t="s">
        <x:v>9</x:v>
      </x:c>
      <x:c r="E19" s="16" t="s">
        <x:v>10</x:v>
      </x:c>
      <x:c r="F19" s="16" t="s">
        <x:v>11</x:v>
      </x:c>
      <x:c r="G19" s="16" t="s">
        <x:v>12</x:v>
      </x:c>
    </x:row>
    <x:row r="20" ht="43.5" customHeight="1">
      <x:c r="A20" s="19" t="s">
        <x:v>60</x:v>
      </x:c>
      <x:c r="B20" s="8" t="s">
        <x:v>61</x:v>
      </x:c>
      <x:c r="C20" s="8" t="s">
        <x:v>62</x:v>
      </x:c>
      <x:c r="D20" s="8" t="s">
        <x:v>63</x:v>
      </x:c>
      <x:c r="E20" s="21"/>
      <x:c r="F20" s="8"/>
      <x:c r="G20" s="23" t="str">
        <x:f t="shared" ref="G20:G22" si="1">IF(E20="","",VALUE(E20))</x:f>
      </x:c>
    </x:row>
    <x:row r="21" ht="43.5" customHeight="1">
      <x:c r="A21" s="19" t="s">
        <x:v>64</x:v>
      </x:c>
      <x:c r="B21" s="11" t="s">
        <x:v>65</x:v>
      </x:c>
      <x:c r="C21" s="11" t="s">
        <x:v>62</x:v>
      </x:c>
      <x:c r="D21" s="11" t="s">
        <x:v>63</x:v>
      </x:c>
      <x:c r="E21" s="21"/>
      <x:c r="F21" s="11"/>
      <x:c r="G21" s="23" t="str">
        <x:f t="shared" si="1"/>
      </x:c>
    </x:row>
    <x:row r="22" ht="43.5" customHeight="1">
      <x:c r="A22" s="19" t="s">
        <x:v>66</x:v>
      </x:c>
      <x:c r="B22" s="11" t="s">
        <x:v>67</x:v>
      </x:c>
      <x:c r="C22" s="11" t="s">
        <x:v>62</x:v>
      </x:c>
      <x:c r="D22" s="11" t="s">
        <x:v>63</x:v>
      </x:c>
      <x:c r="E22" s="21"/>
      <x:c r="F22" s="11"/>
      <x:c r="G22" s="23" t="str">
        <x:f t="shared" si="1"/>
      </x:c>
    </x:row>
    <x:row r="23" ht="15.75" customHeight="1"/>
    <x:row r="24" ht="24" customHeight="1">
      <x:c r="A24" s="31" t="s">
        <x:v>77</x:v>
      </x:c>
    </x:row>
    <x:row r="25" ht="30" customHeight="1">
      <x:c r="A25" s="16" t="s">
        <x:v>6</x:v>
      </x:c>
      <x:c r="B25" s="16" t="s">
        <x:v>7</x:v>
      </x:c>
      <x:c r="C25" s="16" t="s">
        <x:v>8</x:v>
      </x:c>
      <x:c r="D25" s="16" t="s">
        <x:v>9</x:v>
      </x:c>
      <x:c r="E25" s="16" t="s">
        <x:v>10</x:v>
      </x:c>
      <x:c r="F25" s="16" t="s">
        <x:v>11</x:v>
      </x:c>
      <x:c r="G25" s="16" t="s">
        <x:v>12</x:v>
      </x:c>
    </x:row>
    <x:row r="26" ht="43.5" customHeight="1">
      <x:c r="A26" s="19" t="s">
        <x:v>78</x:v>
      </x:c>
      <x:c r="B26" s="8" t="s">
        <x:v>79</x:v>
      </x:c>
      <x:c r="C26" s="8" t="s">
        <x:v>80</x:v>
      </x:c>
      <x:c r="D26" s="8" t="s">
        <x:v>81</x:v>
      </x:c>
      <x:c r="E26" s="21"/>
      <x:c r="F26" s="8"/>
      <x:c r="G26" s="23"/>
    </x:row>
    <x:row r="27" ht="43.5" customHeight="1">
      <x:c r="A27" s="19" t="s">
        <x:v>82</x:v>
      </x:c>
      <x:c r="B27" s="11" t="s">
        <x:v>83</x:v>
      </x:c>
      <x:c r="C27" s="11" t="s">
        <x:v>80</x:v>
      </x:c>
      <x:c r="D27" s="11" t="s">
        <x:v>81</x:v>
      </x:c>
      <x:c r="E27" s="21"/>
      <x:c r="F27" s="11"/>
      <x:c r="G27" s="23"/>
    </x:row>
    <x:row r="28" ht="43.5" customHeight="1">
      <x:c r="A28" s="19" t="s">
        <x:v>84</x:v>
      </x:c>
      <x:c r="B28" s="11" t="s">
        <x:v>85</x:v>
      </x:c>
      <x:c r="C28" s="11" t="s">
        <x:v>80</x:v>
      </x:c>
      <x:c r="D28" s="11" t="s">
        <x:v>81</x:v>
      </x:c>
      <x:c r="E28" s="21"/>
      <x:c r="F28" s="11"/>
      <x:c r="G28" s="23"/>
    </x:row>
    <x:row r="29" ht="43.5" customHeight="1">
      <x:c r="A29" s="19" t="s">
        <x:v>86</x:v>
      </x:c>
      <x:c r="B29" s="11" t="s">
        <x:v>87</x:v>
      </x:c>
      <x:c r="C29" s="11" t="s">
        <x:v>80</x:v>
      </x:c>
      <x:c r="D29" s="11" t="s">
        <x:v>81</x:v>
      </x:c>
      <x:c r="E29" s="21"/>
      <x:c r="F29" s="11"/>
      <x:c r="G29" s="23"/>
    </x:row>
    <x:row r="30" ht="15.75" customHeight="1"/>
    <x:row r="31" ht="24" customHeight="1">
      <x:c r="A31" s="15" t="s">
        <x:v>88</x:v>
      </x:c>
    </x:row>
    <x:row r="32" ht="30" customHeight="1">
      <x:c r="A32" s="16" t="s">
        <x:v>6</x:v>
      </x:c>
      <x:c r="B32" s="16" t="s">
        <x:v>7</x:v>
      </x:c>
      <x:c r="C32" s="16" t="s">
        <x:v>8</x:v>
      </x:c>
      <x:c r="D32" s="16" t="s">
        <x:v>9</x:v>
      </x:c>
      <x:c r="E32" s="16" t="s">
        <x:v>10</x:v>
      </x:c>
      <x:c r="F32" s="16" t="s">
        <x:v>11</x:v>
      </x:c>
      <x:c r="G32" s="16" t="s">
        <x:v>12</x:v>
      </x:c>
    </x:row>
    <x:row r="33" ht="43.5" customHeight="1">
      <x:c r="A33" s="19" t="s">
        <x:v>89</x:v>
      </x:c>
      <x:c r="B33" s="8" t="s">
        <x:v>90</x:v>
      </x:c>
      <x:c r="C33" s="8" t="s">
        <x:v>91</x:v>
      </x:c>
      <x:c r="D33" s="8" t="s">
        <x:v>92</x:v>
      </x:c>
      <x:c r="E33" s="21"/>
      <x:c r="F33" s="8"/>
      <x:c r="G33" s="23" t="str">
        <x:f>IF(E33="","",VALUE(E33)-1)</x:f>
      </x:c>
    </x:row>
    <x:row r="34" ht="43.5" customHeight="1">
      <x:c r="A34" s="19" t="s">
        <x:v>93</x:v>
      </x:c>
      <x:c r="B34" s="11" t="s">
        <x:v>94</x:v>
      </x:c>
      <x:c r="C34" s="11" t="s">
        <x:v>91</x:v>
      </x:c>
      <x:c r="D34" s="11" t="s">
        <x:v>92</x:v>
      </x:c>
      <x:c r="E34" s="21"/>
      <x:c r="F34" s="11"/>
      <x:c r="G34" s="23" t="str">
        <x:f>IF(E34="","",5-VALUE(E34))</x:f>
      </x:c>
    </x:row>
    <x:row r="35" ht="43.5" customHeight="1">
      <x:c r="A35" s="19" t="s">
        <x:v>95</x:v>
      </x:c>
      <x:c r="B35" s="11" t="s">
        <x:v>96</x:v>
      </x:c>
      <x:c r="C35" s="11" t="s">
        <x:v>91</x:v>
      </x:c>
      <x:c r="D35" s="11" t="s">
        <x:v>92</x:v>
      </x:c>
      <x:c r="E35" s="21"/>
      <x:c r="F35" s="11"/>
      <x:c r="G35" s="23" t="str">
        <x:f>IF(E35="","",VALUE(E35)-1)</x:f>
      </x:c>
    </x:row>
    <x:row r="36" ht="43.5" customHeight="1">
      <x:c r="A36" s="19" t="s">
        <x:v>97</x:v>
      </x:c>
      <x:c r="B36" s="11" t="s">
        <x:v>98</x:v>
      </x:c>
      <x:c r="C36" s="11" t="s">
        <x:v>91</x:v>
      </x:c>
      <x:c r="D36" s="11" t="s">
        <x:v>92</x:v>
      </x:c>
      <x:c r="E36" s="21"/>
      <x:c r="F36" s="11"/>
      <x:c r="G36" s="23" t="str">
        <x:f>IF(E36="","",5-VALUE(E36))</x:f>
      </x:c>
    </x:row>
    <x:row r="37" ht="43.5" customHeight="1">
      <x:c r="A37" s="19" t="s">
        <x:v>99</x:v>
      </x:c>
      <x:c r="B37" s="11" t="s">
        <x:v>100</x:v>
      </x:c>
      <x:c r="C37" s="11" t="s">
        <x:v>91</x:v>
      </x:c>
      <x:c r="D37" s="11" t="s">
        <x:v>92</x:v>
      </x:c>
      <x:c r="E37" s="21"/>
      <x:c r="F37" s="11"/>
      <x:c r="G37" s="23" t="str">
        <x:f>IF(E37="","",VALUE(E37)-1)</x:f>
      </x:c>
    </x:row>
    <x:row r="38" ht="43.5" customHeight="1">
      <x:c r="A38" s="19" t="s">
        <x:v>101</x:v>
      </x:c>
      <x:c r="B38" s="11" t="s">
        <x:v>102</x:v>
      </x:c>
      <x:c r="C38" s="11" t="s">
        <x:v>91</x:v>
      </x:c>
      <x:c r="D38" s="11" t="s">
        <x:v>92</x:v>
      </x:c>
      <x:c r="E38" s="21"/>
      <x:c r="F38" s="11"/>
      <x:c r="G38" s="23" t="str">
        <x:f>IF(E38="","",5-VALUE(E38))</x:f>
      </x:c>
    </x:row>
    <x:row r="39" ht="43.5" customHeight="1">
      <x:c r="A39" s="19" t="s">
        <x:v>103</x:v>
      </x:c>
      <x:c r="B39" s="11" t="s">
        <x:v>104</x:v>
      </x:c>
      <x:c r="C39" s="11" t="s">
        <x:v>91</x:v>
      </x:c>
      <x:c r="D39" s="11" t="s">
        <x:v>92</x:v>
      </x:c>
      <x:c r="E39" s="21"/>
      <x:c r="F39" s="11"/>
      <x:c r="G39" s="23" t="str">
        <x:f>IF(E39="","",VALUE(E39)-1)</x:f>
      </x:c>
    </x:row>
    <x:row r="40" ht="43.5" customHeight="1">
      <x:c r="A40" s="19" t="s">
        <x:v>105</x:v>
      </x:c>
      <x:c r="B40" s="11" t="s">
        <x:v>106</x:v>
      </x:c>
      <x:c r="C40" s="11" t="s">
        <x:v>91</x:v>
      </x:c>
      <x:c r="D40" s="11" t="s">
        <x:v>92</x:v>
      </x:c>
      <x:c r="E40" s="21"/>
      <x:c r="F40" s="11"/>
      <x:c r="G40" s="23" t="str">
        <x:f>IF(E40="","",5-VALUE(E40))</x:f>
      </x:c>
    </x:row>
    <x:row r="41" ht="43.5" customHeight="1">
      <x:c r="A41" s="19" t="s">
        <x:v>107</x:v>
      </x:c>
      <x:c r="B41" s="11" t="s">
        <x:v>108</x:v>
      </x:c>
      <x:c r="C41" s="11" t="s">
        <x:v>91</x:v>
      </x:c>
      <x:c r="D41" s="11" t="s">
        <x:v>92</x:v>
      </x:c>
      <x:c r="E41" s="21"/>
      <x:c r="F41" s="11"/>
      <x:c r="G41" s="23" t="str">
        <x:f>IF(E41="","",VALUE(E41)-1)</x:f>
      </x:c>
    </x:row>
    <x:row r="42" ht="43.5" customHeight="1">
      <x:c r="A42" s="19" t="s">
        <x:v>109</x:v>
      </x:c>
      <x:c r="B42" s="11" t="s">
        <x:v>110</x:v>
      </x:c>
      <x:c r="C42" s="11" t="s">
        <x:v>91</x:v>
      </x:c>
      <x:c r="D42" s="11" t="s">
        <x:v>92</x:v>
      </x:c>
      <x:c r="E42" s="21"/>
      <x:c r="F42" s="11"/>
      <x:c r="G42" s="23" t="str">
        <x:f>IF(E42="","",5-VALUE(E42))</x:f>
      </x:c>
    </x:row>
    <x:row r="43" ht="15.75" customHeight="1"/>
    <x:row r="44" ht="24" customHeight="1">
      <x:c r="A44" s="25" t="s">
        <x:v>111</x:v>
      </x:c>
    </x:row>
    <x:row r="45" ht="30" customHeight="1">
      <x:c r="A45" s="16" t="s">
        <x:v>6</x:v>
      </x:c>
      <x:c r="B45" s="16" t="s">
        <x:v>7</x:v>
      </x:c>
      <x:c r="C45" s="16" t="s">
        <x:v>8</x:v>
      </x:c>
      <x:c r="D45" s="16" t="s">
        <x:v>9</x:v>
      </x:c>
      <x:c r="E45" s="16" t="s">
        <x:v>10</x:v>
      </x:c>
      <x:c r="F45" s="16" t="s">
        <x:v>11</x:v>
      </x:c>
      <x:c r="G45" s="16" t="s">
        <x:v>12</x:v>
      </x:c>
    </x:row>
    <x:row r="46" ht="43.5" customHeight="1">
      <x:c r="A46" s="19" t="s">
        <x:v>112</x:v>
      </x:c>
      <x:c r="B46" s="8" t="s">
        <x:v>113</x:v>
      </x:c>
      <x:c r="C46" s="8" t="s">
        <x:v>114</x:v>
      </x:c>
      <x:c r="D46" s="8" t="s">
        <x:v>92</x:v>
      </x:c>
      <x:c r="E46" s="21"/>
      <x:c r="F46" s="8"/>
      <x:c r="G46" s="23"/>
    </x:row>
    <x:row r="47" ht="43.5" customHeight="1">
      <x:c r="A47" s="19" t="s">
        <x:v>115</x:v>
      </x:c>
      <x:c r="B47" s="11" t="s">
        <x:v>116</x:v>
      </x:c>
      <x:c r="C47" s="11" t="s">
        <x:v>117</x:v>
      </x:c>
      <x:c r="D47" s="11" t="s">
        <x:v>92</x:v>
      </x:c>
      <x:c r="E47" s="21"/>
      <x:c r="F47" s="11"/>
      <x:c r="G47" s="23"/>
    </x:row>
    <x:row r="48" ht="43.5" customHeight="1">
      <x:c r="A48" s="19" t="s">
        <x:v>118</x:v>
      </x:c>
      <x:c r="B48" s="11" t="s">
        <x:v>119</x:v>
      </x:c>
      <x:c r="C48" s="11" t="s">
        <x:v>120</x:v>
      </x:c>
      <x:c r="D48" s="11" t="s">
        <x:v>92</x:v>
      </x:c>
      <x:c r="E48" s="21"/>
      <x:c r="F48" s="11"/>
      <x:c r="G48" s="23"/>
    </x:row>
    <x:row r="49" ht="43.5" customHeight="1">
      <x:c r="A49" s="19" t="s">
        <x:v>121</x:v>
      </x:c>
      <x:c r="B49" s="11" t="s">
        <x:v>122</x:v>
      </x:c>
      <x:c r="C49" s="11" t="s">
        <x:v>123</x:v>
      </x:c>
      <x:c r="D49" s="11" t="s">
        <x:v>92</x:v>
      </x:c>
      <x:c r="E49" s="21"/>
      <x:c r="F49" s="11"/>
      <x:c r="G49" s="23"/>
    </x:row>
    <x:row r="50" ht="43.5" customHeight="1">
      <x:c r="A50" s="19" t="s">
        <x:v>124</x:v>
      </x:c>
      <x:c r="B50" s="11" t="s">
        <x:v>125</x:v>
      </x:c>
      <x:c r="C50" s="11" t="s">
        <x:v>126</x:v>
      </x:c>
      <x:c r="D50" s="11" t="s">
        <x:v>92</x:v>
      </x:c>
      <x:c r="E50" s="21"/>
      <x:c r="F50" s="11"/>
      <x:c r="G50" s="23"/>
    </x:row>
    <x:row r="51" ht="43.5" customHeight="1">
      <x:c r="A51" s="19" t="s">
        <x:v>127</x:v>
      </x:c>
      <x:c r="B51" s="11" t="s">
        <x:v>128</x:v>
      </x:c>
      <x:c r="C51" s="11" t="s">
        <x:v>129</x:v>
      </x:c>
      <x:c r="D51" s="11" t="s">
        <x:v>92</x:v>
      </x:c>
      <x:c r="E51" s="21"/>
      <x:c r="F51" s="11"/>
      <x:c r="G51" s="23"/>
    </x:row>
    <x:row r="52" ht="43.5" customHeight="1">
      <x:c r="A52" s="19" t="s">
        <x:v>130</x:v>
      </x:c>
      <x:c r="B52" s="11" t="s">
        <x:v>131</x:v>
      </x:c>
      <x:c r="C52" s="11" t="s">
        <x:v>132</x:v>
      </x:c>
      <x:c r="D52" s="11" t="s">
        <x:v>92</x:v>
      </x:c>
      <x:c r="E52" s="21"/>
      <x:c r="F52" s="11"/>
      <x:c r="G52" s="23"/>
    </x:row>
    <x:row r="53" ht="43.5" customHeight="1">
      <x:c r="A53" s="19" t="s">
        <x:v>133</x:v>
      </x:c>
      <x:c r="B53" s="11" t="s">
        <x:v>134</x:v>
      </x:c>
      <x:c r="C53" s="11" t="s">
        <x:v>135</x:v>
      </x:c>
      <x:c r="D53" s="11" t="s">
        <x:v>92</x:v>
      </x:c>
      <x:c r="E53" s="21"/>
      <x:c r="F53" s="11"/>
      <x:c r="G53" s="23"/>
    </x:row>
    <x:row r="54" ht="43.5" customHeight="1">
      <x:c r="A54" s="19" t="s">
        <x:v>136</x:v>
      </x:c>
      <x:c r="B54" s="11" t="s">
        <x:v>137</x:v>
      </x:c>
      <x:c r="C54" s="11" t="s">
        <x:v>138</x:v>
      </x:c>
      <x:c r="D54" s="11" t="s">
        <x:v>92</x:v>
      </x:c>
      <x:c r="E54" s="21"/>
      <x:c r="F54" s="11"/>
      <x:c r="G54" s="23"/>
    </x:row>
    <x:row r="55" ht="43.5" customHeight="1">
      <x:c r="A55" s="19" t="s">
        <x:v>139</x:v>
      </x:c>
      <x:c r="B55" s="11" t="s">
        <x:v>140</x:v>
      </x:c>
      <x:c r="C55" s="11" t="s">
        <x:v>141</x:v>
      </x:c>
      <x:c r="D55" s="11" t="s">
        <x:v>92</x:v>
      </x:c>
      <x:c r="E55" s="21"/>
      <x:c r="F55" s="11"/>
      <x:c r="G55" s="23"/>
    </x:row>
    <x:row r="56" ht="15.75" customHeight="1"/>
    <x:row r="57" ht="24" customHeight="1">
      <x:c r="A57" s="32" t="s">
        <x:v>142</x:v>
      </x:c>
    </x:row>
    <x:row r="58" ht="30" customHeight="1">
      <x:c r="A58" s="16" t="s">
        <x:v>6</x:v>
      </x:c>
      <x:c r="B58" s="16" t="s">
        <x:v>7</x:v>
      </x:c>
      <x:c r="C58" s="16" t="s">
        <x:v>8</x:v>
      </x:c>
      <x:c r="D58" s="16" t="s">
        <x:v>9</x:v>
      </x:c>
      <x:c r="E58" s="16" t="s">
        <x:v>10</x:v>
      </x:c>
      <x:c r="F58" s="16" t="s">
        <x:v>11</x:v>
      </x:c>
      <x:c r="G58" s="16" t="s">
        <x:v>12</x:v>
      </x:c>
    </x:row>
    <x:row r="59" ht="43.5" customHeight="1">
      <x:c r="A59" s="19" t="s">
        <x:v>143</x:v>
      </x:c>
      <x:c r="B59" s="8" t="s">
        <x:v>144</x:v>
      </x:c>
      <x:c r="C59" s="8" t="s">
        <x:v>145</x:v>
      </x:c>
      <x:c r="D59" s="8" t="s">
        <x:v>146</x:v>
      </x:c>
      <x:c r="E59" s="21"/>
      <x:c r="F59" s="8"/>
      <x:c r="G59" s="23"/>
    </x:row>
    <x:row r="60" ht="43.5" customHeight="1">
      <x:c r="A60" s="19" t="s">
        <x:v>147</x:v>
      </x:c>
      <x:c r="B60" s="11" t="s">
        <x:v>148</x:v>
      </x:c>
      <x:c r="C60" s="11" t="s">
        <x:v>149</x:v>
      </x:c>
      <x:c r="D60" s="11" t="s">
        <x:v>150</x:v>
      </x:c>
      <x:c r="E60" s="21"/>
      <x:c r="F60" s="11"/>
      <x:c r="G60" s="23"/>
    </x:row>
    <x:row r="61" ht="43.5" customHeight="1">
      <x:c r="A61" s="19" t="s">
        <x:v>151</x:v>
      </x:c>
      <x:c r="B61" s="11" t="s">
        <x:v>152</x:v>
      </x:c>
      <x:c r="C61" s="11" t="s">
        <x:v>149</x:v>
      </x:c>
      <x:c r="D61" s="11" t="s">
        <x:v>153</x:v>
      </x:c>
      <x:c r="E61" s="21"/>
      <x:c r="F61" s="11"/>
      <x:c r="G61" s="23"/>
    </x:row>
    <x:row r="62" ht="43.5" customHeight="1">
      <x:c r="A62" s="19" t="s">
        <x:v>154</x:v>
      </x:c>
      <x:c r="B62" s="11" t="s">
        <x:v>155</x:v>
      </x:c>
      <x:c r="C62" s="11" t="s">
        <x:v>149</x:v>
      </x:c>
      <x:c r="D62" s="11" t="s">
        <x:v>156</x:v>
      </x:c>
      <x:c r="E62" s="21"/>
      <x:c r="F62" s="11"/>
      <x:c r="G62" s="23"/>
    </x:row>
    <x:row r="63" ht="43.5" customHeight="1">
      <x:c r="A63" s="19" t="s">
        <x:v>157</x:v>
      </x:c>
      <x:c r="B63" s="11" t="s">
        <x:v>158</x:v>
      </x:c>
      <x:c r="C63" s="11" t="s">
        <x:v>145</x:v>
      </x:c>
      <x:c r="D63" s="11" t="s">
        <x:v>159</x:v>
      </x:c>
      <x:c r="E63" s="21"/>
      <x:c r="F63" s="11"/>
      <x:c r="G63" s="23"/>
    </x:row>
    <x:row r="64" ht="67.5" customHeight="1">
      <x:c r="A64" s="19" t="s">
        <x:v>160</x:v>
      </x:c>
      <x:c r="B64" s="11" t="s">
        <x:v>161</x:v>
      </x:c>
      <x:c r="C64" s="11" t="s">
        <x:v>11</x:v>
      </x:c>
      <x:c r="D64" s="11" t="s">
        <x:v>146</x:v>
      </x:c>
      <x:c r="E64" s="21"/>
      <x:c r="F64" s="11"/>
      <x:c r="G64" s="23"/>
    </x:row>
    <x:row r="65" ht="15.75" customHeight="1"/>
    <x:row r="66" ht="24" customHeight="1">
      <x:c r="A66" s="31" t="s">
        <x:v>162</x:v>
      </x:c>
    </x:row>
    <x:row r="67" ht="30" customHeight="1">
      <x:c r="A67" s="16" t="s">
        <x:v>6</x:v>
      </x:c>
      <x:c r="B67" s="16" t="s">
        <x:v>7</x:v>
      </x:c>
      <x:c r="C67" s="16" t="s">
        <x:v>8</x:v>
      </x:c>
      <x:c r="D67" s="16" t="s">
        <x:v>9</x:v>
      </x:c>
      <x:c r="E67" s="16" t="s">
        <x:v>10</x:v>
      </x:c>
      <x:c r="F67" s="16" t="s">
        <x:v>11</x:v>
      </x:c>
      <x:c r="G67" s="16" t="s">
        <x:v>12</x:v>
      </x:c>
    </x:row>
    <x:row r="68" ht="67.5" customHeight="1">
      <x:c r="A68" s="19" t="s">
        <x:v>163</x:v>
      </x:c>
      <x:c r="B68" s="8" t="s">
        <x:v>164</x:v>
      </x:c>
      <x:c r="C68" s="8" t="s">
        <x:v>165</x:v>
      </x:c>
      <x:c r="D68" s="8" t="s">
        <x:v>166</x:v>
      </x:c>
      <x:c r="E68" s="21"/>
      <x:c r="F68" s="8"/>
      <x:c r="G68" s="23"/>
    </x:row>
    <x:row r="69" ht="67.5" customHeight="1">
      <x:c r="A69" s="19" t="s">
        <x:v>167</x:v>
      </x:c>
      <x:c r="B69" s="11" t="s">
        <x:v>168</x:v>
      </x:c>
      <x:c r="C69" s="11" t="s">
        <x:v>165</x:v>
      </x:c>
      <x:c r="D69" s="11" t="s">
        <x:v>166</x:v>
      </x:c>
      <x:c r="E69" s="21"/>
      <x:c r="F69" s="11"/>
      <x:c r="G69" s="23"/>
    </x:row>
    <x:row r="70" ht="67.5" customHeight="1">
      <x:c r="A70" s="19" t="s">
        <x:v>169</x:v>
      </x:c>
      <x:c r="B70" s="11" t="s">
        <x:v>170</x:v>
      </x:c>
      <x:c r="C70" s="11" t="s">
        <x:v>165</x:v>
      </x:c>
      <x:c r="D70" s="11" t="s">
        <x:v>166</x:v>
      </x:c>
      <x:c r="E70" s="21"/>
      <x:c r="F70" s="11"/>
      <x:c r="G70" s="23"/>
    </x:row>
    <x:row r="71" ht="67.5" customHeight="1">
      <x:c r="A71" s="19" t="s">
        <x:v>171</x:v>
      </x:c>
      <x:c r="B71" s="11" t="s">
        <x:v>172</x:v>
      </x:c>
      <x:c r="C71" s="11" t="s">
        <x:v>165</x:v>
      </x:c>
      <x:c r="D71" s="11" t="s">
        <x:v>166</x:v>
      </x:c>
      <x:c r="E71" s="21"/>
      <x:c r="F71" s="11"/>
      <x:c r="G71" s="23"/>
    </x:row>
    <x:row r="72" ht="67.5" customHeight="1">
      <x:c r="A72" s="19" t="s">
        <x:v>173</x:v>
      </x:c>
      <x:c r="B72" s="11" t="s">
        <x:v>174</x:v>
      </x:c>
      <x:c r="C72" s="11" t="s">
        <x:v>165</x:v>
      </x:c>
      <x:c r="D72" s="11" t="s">
        <x:v>175</x:v>
      </x:c>
      <x:c r="E72" s="21"/>
      <x:c r="F72" s="11"/>
      <x:c r="G72" s="23"/>
    </x:row>
    <x:row r="73" ht="67.5" customHeight="1">
      <x:c r="A73" s="19" t="s">
        <x:v>176</x:v>
      </x:c>
      <x:c r="B73" s="11" t="s">
        <x:v>177</x:v>
      </x:c>
      <x:c r="C73" s="11" t="s">
        <x:v>165</x:v>
      </x:c>
      <x:c r="D73" s="11" t="s">
        <x:v>178</x:v>
      </x:c>
      <x:c r="E73" s="21"/>
      <x:c r="F73" s="11"/>
      <x:c r="G73" s="23"/>
    </x:row>
    <x:row r="74" ht="67.5" customHeight="1">
      <x:c r="A74" s="19" t="s">
        <x:v>179</x:v>
      </x:c>
      <x:c r="B74" s="11" t="s">
        <x:v>180</x:v>
      </x:c>
      <x:c r="C74" s="11" t="s">
        <x:v>165</x:v>
      </x:c>
      <x:c r="D74" s="11" t="s">
        <x:v>181</x:v>
      </x:c>
      <x:c r="E74" s="21"/>
      <x:c r="F74" s="11"/>
      <x:c r="G74" s="23"/>
    </x:row>
    <x:row r="75" ht="67.5" customHeight="1">
      <x:c r="A75" s="19" t="s">
        <x:v>182</x:v>
      </x:c>
      <x:c r="B75" s="11" t="s">
        <x:v>183</x:v>
      </x:c>
      <x:c r="C75" s="11" t="s">
        <x:v>165</x:v>
      </x:c>
      <x:c r="D75" s="11" t="s">
        <x:v>184</x:v>
      </x:c>
      <x:c r="E75" s="21"/>
      <x:c r="F75" s="11"/>
      <x:c r="G75" s="23"/>
    </x:row>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57:G57"/>
    <x:mergeCell ref="A66:G66"/>
    <x:mergeCell ref="A1:G1"/>
    <x:mergeCell ref="A2:G2"/>
    <x:mergeCell ref="A5:G5"/>
    <x:mergeCell ref="A18:G18"/>
    <x:mergeCell ref="A24:G24"/>
    <x:mergeCell ref="A31:G31"/>
    <x:mergeCell ref="A44:G44"/>
  </x:mergeCells>
  <x:conditionalFormatting sqref="E7:E16">
    <x:cfRule type="containsText" dxfId="0" priority="1" operator="containsText" text="Không chắc">
      <x:formula>NOT(ISERROR(SEARCH(("Không chắc"),(E7))))</x:formula>
    </x:cfRule>
  </x:conditionalFormatting>
  <x:conditionalFormatting sqref="E26:E29">
    <x:cfRule type="containsText" dxfId="1" priority="2" operator="containsText" text="Nặng">
      <x:formula>NOT(ISERROR(SEARCH(("Nặng"),(E26))))</x:formula>
    </x:cfRule>
  </x:conditionalFormatting>
  <x:conditionalFormatting sqref="E26:E29">
    <x:cfRule type="containsText" dxfId="2" priority="3" operator="containsText" text="Phải dừng">
      <x:formula>NOT(ISERROR(SEARCH(("Phải dừng"),(E26))))</x:formula>
    </x:cfRule>
  </x:conditionalFormatting>
  <x:dataValidations count="7">
    <x:dataValidation type="list" allowBlank="1" sqref="E20:E22 E33:E42 E46:E55">
      <x:formula1>"1,2,3,4,5"</x:formula1>
    </x:dataValidation>
    <x:dataValidation type="list" allowBlank="1" sqref="E26:E29">
      <x:formula1>"Không có,Nhẹ,Vừa,Nặng,Phải dừng"</x:formula1>
    </x:dataValidation>
    <x:dataValidation type="list" allowBlank="1" sqref="E63">
      <x:formula1>"Không có,Nhẹ,Vừa,Nghiêm trọng"</x:formula1>
    </x:dataValidation>
    <x:dataValidation type="list" allowBlank="1" sqref="E59">
      <x:formula1>"Hoàn thành độc lập,Hoàn thành có hỗ trợ,Không hoàn thành,Dừng vì khó chịu,Dừng vì lỗi kỹ thuật"</x:formula1>
    </x:dataValidation>
    <x:dataValidation type="decimal" allowBlank="1" sqref="E60:E62">
      <x:formula1>0.0</x:formula1>
      <x:formula2>9999.0</x:formula2>
    </x:dataValidation>
    <x:dataValidation type="list" allowBlank="1" sqref="E15:E16">
      <x:formula1>"A,B,C,D"</x:formula1>
    </x:dataValidation>
    <x:dataValidation type="list" allowBlank="1" sqref="E7:E14">
      <x:formula1>"Đúng,Sai,Không chắc"</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
  <x:cols>
    <x:col min="1" max="1" width="18" customWidth="1"/>
    <x:col min="2" max="2" width="16" customWidth="1"/>
    <x:col min="3" max="3" width="32" customWidth="1"/>
    <x:col min="4" max="4" width="52" customWidth="1"/>
    <x:col min="5" max="5" width="46" customWidth="1"/>
    <x:col min="6" max="6" width="23" customWidth="1"/>
    <x:col min="7" max="26" width="8.630000114440918" customWidth="1"/>
  </x:cols>
  <x:sheetData>
    <x:row r="1" ht="31.5" customHeight="1">
      <x:c r="A1" s="1" t="s">
        <x:v>185</x:v>
      </x:c>
    </x:row>
    <x:row r="2" ht="33.75" customHeight="1">
      <x:c r="A2" s="2" t="str">
        <x:v>Sheet dành cho nhà nghiên cứu: giải thích biến đo, cách sử dụng dữ liệu, đáp án kiến thức và tiêu chí riêng của multiplayer.</x:v>
      </x:c>
    </x:row>
    <x:row r="4" ht="31.5" customHeight="1">
      <x:c r="A4" s="4" t="s">
        <x:v>186</x:v>
      </x:c>
      <x:c r="B4" s="4" t="s">
        <x:v>6</x:v>
      </x:c>
      <x:c r="C4" s="4" t="s">
        <x:v>187</x:v>
      </x:c>
      <x:c r="D4" s="4" t="s">
        <x:v>188</x:v>
      </x:c>
      <x:c r="E4" s="4" t="s">
        <x:v>189</x:v>
      </x:c>
      <x:c r="F4" s="4" t="s">
        <x:v>190</x:v>
      </x:c>
    </x:row>
    <x:row r="5" ht="48" customHeight="1">
      <x:c r="A5" s="6" t="s">
        <x:v>191</x:v>
      </x:c>
      <x:c r="B5" s="6" t="s">
        <x:v>13</x:v>
      </x:c>
      <x:c r="C5" s="8" t="s">
        <x:v>192</x:v>
      </x:c>
      <x:c r="D5" s="8" t="s">
        <x:v>193</x:v>
      </x:c>
      <x:c r="E5" s="8" t="s">
        <x:v>194</x:v>
      </x:c>
      <x:c r="F5" s="9" t="s">
        <x:v>195</x:v>
      </x:c>
    </x:row>
    <x:row r="6" ht="48" customHeight="1">
      <x:c r="A6" s="10" t="s">
        <x:v>191</x:v>
      </x:c>
      <x:c r="B6" s="10" t="s">
        <x:v>196</x:v>
      </x:c>
      <x:c r="C6" s="11" t="s">
        <x:v>197</x:v>
      </x:c>
      <x:c r="D6" s="11" t="s">
        <x:v>198</x:v>
      </x:c>
      <x:c r="E6" s="11" t="s">
        <x:v>199</x:v>
      </x:c>
      <x:c r="F6" s="12" t="s">
        <x:v>195</x:v>
      </x:c>
    </x:row>
    <x:row r="7" ht="48" customHeight="1">
      <x:c r="A7" s="10" t="s">
        <x:v>191</x:v>
      </x:c>
      <x:c r="B7" s="10" t="s">
        <x:v>200</x:v>
      </x:c>
      <x:c r="C7" s="11" t="s">
        <x:v>201</x:v>
      </x:c>
      <x:c r="D7" s="11" t="s">
        <x:v>202</x:v>
      </x:c>
      <x:c r="E7" s="11" t="s">
        <x:v>203</x:v>
      </x:c>
      <x:c r="F7" s="12" t="s">
        <x:v>195</x:v>
      </x:c>
    </x:row>
    <x:row r="8" ht="48" customHeight="1">
      <x:c r="A8" s="10" t="s">
        <x:v>191</x:v>
      </x:c>
      <x:c r="B8" s="10" t="s">
        <x:v>34</x:v>
      </x:c>
      <x:c r="C8" s="11" t="s">
        <x:v>204</x:v>
      </x:c>
      <x:c r="D8" s="11" t="s">
        <x:v>205</x:v>
      </x:c>
      <x:c r="E8" s="11" t="s">
        <x:v>206</x:v>
      </x:c>
      <x:c r="F8" s="12" t="s">
        <x:v>207</x:v>
      </x:c>
    </x:row>
    <x:row r="9" ht="48" customHeight="1">
      <x:c r="A9" s="10" t="s">
        <x:v>191</x:v>
      </x:c>
      <x:c r="B9" s="10" t="s">
        <x:v>38</x:v>
      </x:c>
      <x:c r="C9" s="11" t="s">
        <x:v>208</x:v>
      </x:c>
      <x:c r="D9" s="11" t="s">
        <x:v>209</x:v>
      </x:c>
      <x:c r="E9" s="11" t="s">
        <x:v>206</x:v>
      </x:c>
      <x:c r="F9" s="12" t="s">
        <x:v>207</x:v>
      </x:c>
    </x:row>
    <x:row r="10" ht="48" customHeight="1">
      <x:c r="A10" s="10" t="s">
        <x:v>191</x:v>
      </x:c>
      <x:c r="B10" s="10" t="s">
        <x:v>40</x:v>
      </x:c>
      <x:c r="C10" s="11" t="s">
        <x:v>210</x:v>
      </x:c>
      <x:c r="D10" s="11" t="s">
        <x:v>211</x:v>
      </x:c>
      <x:c r="E10" s="11" t="s">
        <x:v>206</x:v>
      </x:c>
      <x:c r="F10" s="12" t="s">
        <x:v>212</x:v>
      </x:c>
    </x:row>
    <x:row r="11" ht="48" customHeight="1">
      <x:c r="A11" s="10" t="s">
        <x:v>191</x:v>
      </x:c>
      <x:c r="B11" s="10" t="s">
        <x:v>42</x:v>
      </x:c>
      <x:c r="C11" s="11" t="s">
        <x:v>213</x:v>
      </x:c>
      <x:c r="D11" s="11" t="s">
        <x:v>214</x:v>
      </x:c>
      <x:c r="E11" s="11" t="s">
        <x:v>206</x:v>
      </x:c>
      <x:c r="F11" s="12" t="s">
        <x:v>212</x:v>
      </x:c>
    </x:row>
    <x:row r="12" ht="48" customHeight="1">
      <x:c r="A12" s="10" t="s">
        <x:v>191</x:v>
      </x:c>
      <x:c r="B12" s="10" t="s">
        <x:v>44</x:v>
      </x:c>
      <x:c r="C12" s="11" t="s">
        <x:v>215</x:v>
      </x:c>
      <x:c r="D12" s="11" t="s">
        <x:v>216</x:v>
      </x:c>
      <x:c r="E12" s="11" t="s">
        <x:v>206</x:v>
      </x:c>
      <x:c r="F12" s="12" t="s">
        <x:v>212</x:v>
      </x:c>
    </x:row>
    <x:row r="13" ht="48" customHeight="1">
      <x:c r="A13" s="10" t="s">
        <x:v>191</x:v>
      </x:c>
      <x:c r="B13" s="10" t="s">
        <x:v>46</x:v>
      </x:c>
      <x:c r="C13" s="11" t="s">
        <x:v>217</x:v>
      </x:c>
      <x:c r="D13" s="11" t="s">
        <x:v>218</x:v>
      </x:c>
      <x:c r="E13" s="11" t="s">
        <x:v>206</x:v>
      </x:c>
      <x:c r="F13" s="12" t="s">
        <x:v>207</x:v>
      </x:c>
    </x:row>
    <x:row r="14" ht="48" customHeight="1">
      <x:c r="A14" s="10" t="s">
        <x:v>191</x:v>
      </x:c>
      <x:c r="B14" s="10" t="s">
        <x:v>48</x:v>
      </x:c>
      <x:c r="C14" s="11" t="s">
        <x:v>219</x:v>
      </x:c>
      <x:c r="D14" s="11" t="s">
        <x:v>220</x:v>
      </x:c>
      <x:c r="E14" s="11" t="s">
        <x:v>206</x:v>
      </x:c>
      <x:c r="F14" s="12" t="s">
        <x:v>212</x:v>
      </x:c>
    </x:row>
    <x:row r="15" ht="48" customHeight="1">
      <x:c r="A15" s="10" t="s">
        <x:v>191</x:v>
      </x:c>
      <x:c r="B15" s="10" t="s">
        <x:v>50</x:v>
      </x:c>
      <x:c r="C15" s="11" t="s">
        <x:v>221</x:v>
      </x:c>
      <x:c r="D15" s="11" t="s">
        <x:v>222</x:v>
      </x:c>
      <x:c r="E15" s="11" t="s">
        <x:v>206</x:v>
      </x:c>
      <x:c r="F15" s="12" t="s">
        <x:v>212</x:v>
      </x:c>
    </x:row>
    <x:row r="16" ht="48" customHeight="1">
      <x:c r="A16" s="10" t="s">
        <x:v>191</x:v>
      </x:c>
      <x:c r="B16" s="10" t="s">
        <x:v>52</x:v>
      </x:c>
      <x:c r="C16" s="11" t="s">
        <x:v>223</x:v>
      </x:c>
      <x:c r="D16" s="11" t="s">
        <x:v>224</x:v>
      </x:c>
      <x:c r="E16" s="11" t="s">
        <x:v>225</x:v>
      </x:c>
      <x:c r="F16" s="12" t="s">
        <x:v>226</x:v>
      </x:c>
    </x:row>
    <x:row r="17" ht="48" customHeight="1">
      <x:c r="A17" s="10" t="s">
        <x:v>191</x:v>
      </x:c>
      <x:c r="B17" s="10" t="s">
        <x:v>56</x:v>
      </x:c>
      <x:c r="C17" s="11" t="s">
        <x:v>227</x:v>
      </x:c>
      <x:c r="D17" s="11" t="s">
        <x:v>228</x:v>
      </x:c>
      <x:c r="E17" s="11" t="s">
        <x:v>229</x:v>
      </x:c>
      <x:c r="F17" s="12" t="s">
        <x:v>230</x:v>
      </x:c>
    </x:row>
    <x:row r="18" ht="48" customHeight="1">
      <x:c r="A18" s="10" t="s">
        <x:v>231</x:v>
      </x:c>
      <x:c r="B18" s="10" t="s">
        <x:v>34</x:v>
      </x:c>
      <x:c r="C18" s="11" t="s">
        <x:v>232</x:v>
      </x:c>
      <x:c r="D18" s="11" t="s">
        <x:v>233</x:v>
      </x:c>
      <x:c r="E18" s="11" t="s">
        <x:v>234</x:v>
      </x:c>
      <x:c r="F18" s="12" t="s">
        <x:v>212</x:v>
      </x:c>
    </x:row>
    <x:row r="19" ht="48" customHeight="1">
      <x:c r="A19" s="10" t="s">
        <x:v>231</x:v>
      </x:c>
      <x:c r="B19" s="10" t="s">
        <x:v>38</x:v>
      </x:c>
      <x:c r="C19" s="11" t="s">
        <x:v>235</x:v>
      </x:c>
      <x:c r="D19" s="11" t="s">
        <x:v>236</x:v>
      </x:c>
      <x:c r="E19" s="11" t="s">
        <x:v>234</x:v>
      </x:c>
      <x:c r="F19" s="12" t="s">
        <x:v>207</x:v>
      </x:c>
    </x:row>
    <x:row r="20" ht="48" customHeight="1">
      <x:c r="A20" s="10" t="s">
        <x:v>231</x:v>
      </x:c>
      <x:c r="B20" s="10" t="s">
        <x:v>40</x:v>
      </x:c>
      <x:c r="C20" s="11" t="s">
        <x:v>237</x:v>
      </x:c>
      <x:c r="D20" s="11" t="s">
        <x:v>238</x:v>
      </x:c>
      <x:c r="E20" s="11" t="s">
        <x:v>234</x:v>
      </x:c>
      <x:c r="F20" s="12" t="s">
        <x:v>207</x:v>
      </x:c>
    </x:row>
    <x:row r="21" ht="48" customHeight="1">
      <x:c r="A21" s="10" t="s">
        <x:v>231</x:v>
      </x:c>
      <x:c r="B21" s="10" t="s">
        <x:v>42</x:v>
      </x:c>
      <x:c r="C21" s="11" t="s">
        <x:v>239</x:v>
      </x:c>
      <x:c r="D21" s="11" t="s">
        <x:v>240</x:v>
      </x:c>
      <x:c r="E21" s="11" t="s">
        <x:v>234</x:v>
      </x:c>
      <x:c r="F21" s="12" t="s">
        <x:v>212</x:v>
      </x:c>
    </x:row>
    <x:row r="22" ht="48" customHeight="1">
      <x:c r="A22" s="10" t="s">
        <x:v>231</x:v>
      </x:c>
      <x:c r="B22" s="10" t="s">
        <x:v>44</x:v>
      </x:c>
      <x:c r="C22" s="11" t="s">
        <x:v>241</x:v>
      </x:c>
      <x:c r="D22" s="11" t="s">
        <x:v>242</x:v>
      </x:c>
      <x:c r="E22" s="11" t="s">
        <x:v>234</x:v>
      </x:c>
      <x:c r="F22" s="12" t="s">
        <x:v>212</x:v>
      </x:c>
    </x:row>
    <x:row r="23" ht="48" customHeight="1">
      <x:c r="A23" s="10" t="s">
        <x:v>231</x:v>
      </x:c>
      <x:c r="B23" s="10" t="s">
        <x:v>46</x:v>
      </x:c>
      <x:c r="C23" s="11" t="s">
        <x:v>243</x:v>
      </x:c>
      <x:c r="D23" s="11" t="s">
        <x:v>244</x:v>
      </x:c>
      <x:c r="E23" s="11" t="s">
        <x:v>234</x:v>
      </x:c>
      <x:c r="F23" s="12" t="s">
        <x:v>212</x:v>
      </x:c>
    </x:row>
    <x:row r="24" ht="48" customHeight="1">
      <x:c r="A24" s="10" t="s">
        <x:v>231</x:v>
      </x:c>
      <x:c r="B24" s="10" t="s">
        <x:v>48</x:v>
      </x:c>
      <x:c r="C24" s="11" t="s">
        <x:v>245</x:v>
      </x:c>
      <x:c r="D24" s="11" t="s">
        <x:v>246</x:v>
      </x:c>
      <x:c r="E24" s="11" t="s">
        <x:v>234</x:v>
      </x:c>
      <x:c r="F24" s="12" t="s">
        <x:v>207</x:v>
      </x:c>
    </x:row>
    <x:row r="25" ht="48" customHeight="1">
      <x:c r="A25" s="10" t="s">
        <x:v>231</x:v>
      </x:c>
      <x:c r="B25" s="10" t="s">
        <x:v>50</x:v>
      </x:c>
      <x:c r="C25" s="11" t="s">
        <x:v>219</x:v>
      </x:c>
      <x:c r="D25" s="11" t="s">
        <x:v>247</x:v>
      </x:c>
      <x:c r="E25" s="11" t="s">
        <x:v>234</x:v>
      </x:c>
      <x:c r="F25" s="12" t="s">
        <x:v>212</x:v>
      </x:c>
    </x:row>
    <x:row r="26" ht="48" customHeight="1">
      <x:c r="A26" s="10" t="s">
        <x:v>231</x:v>
      </x:c>
      <x:c r="B26" s="10" t="s">
        <x:v>52</x:v>
      </x:c>
      <x:c r="C26" s="11" t="s">
        <x:v>248</x:v>
      </x:c>
      <x:c r="D26" s="11" t="s">
        <x:v>249</x:v>
      </x:c>
      <x:c r="E26" s="11" t="s">
        <x:v>234</x:v>
      </x:c>
      <x:c r="F26" s="12" t="s">
        <x:v>226</x:v>
      </x:c>
    </x:row>
    <x:row r="27" ht="48" customHeight="1">
      <x:c r="A27" s="10" t="s">
        <x:v>231</x:v>
      </x:c>
      <x:c r="B27" s="10" t="s">
        <x:v>56</x:v>
      </x:c>
      <x:c r="C27" s="11" t="s">
        <x:v>250</x:v>
      </x:c>
      <x:c r="D27" s="11" t="s">
        <x:v>251</x:v>
      </x:c>
      <x:c r="E27" s="11" t="s">
        <x:v>234</x:v>
      </x:c>
      <x:c r="F27" s="12" t="s">
        <x:v>230</x:v>
      </x:c>
    </x:row>
    <x:row r="28" ht="48" customHeight="1">
      <x:c r="A28" s="10" t="s">
        <x:v>252</x:v>
      </x:c>
      <x:c r="B28" s="10" t="s">
        <x:v>253</x:v>
      </x:c>
      <x:c r="C28" s="11" t="s">
        <x:v>62</x:v>
      </x:c>
      <x:c r="D28" s="11" t="s">
        <x:v>254</x:v>
      </x:c>
      <x:c r="E28" s="11" t="s">
        <x:v>255</x:v>
      </x:c>
      <x:c r="F28" s="12" t="s">
        <x:v>256</x:v>
      </x:c>
    </x:row>
    <x:row r="29" ht="48" customHeight="1">
      <x:c r="A29" s="10" t="s">
        <x:v>231</x:v>
      </x:c>
      <x:c r="B29" s="10" t="s">
        <x:v>257</x:v>
      </x:c>
      <x:c r="C29" s="11" t="s">
        <x:v>258</x:v>
      </x:c>
      <x:c r="D29" s="11" t="s">
        <x:v>259</x:v>
      </x:c>
      <x:c r="E29" s="11" t="s">
        <x:v>260</x:v>
      </x:c>
      <x:c r="F29" s="12" t="s">
        <x:v>261</x:v>
      </x:c>
    </x:row>
    <x:row r="30" ht="48" customHeight="1">
      <x:c r="A30" s="10" t="s">
        <x:v>231</x:v>
      </x:c>
      <x:c r="B30" s="10" t="s">
        <x:v>262</x:v>
      </x:c>
      <x:c r="C30" s="11" t="s">
        <x:v>263</x:v>
      </x:c>
      <x:c r="D30" s="11" t="s">
        <x:v>264</x:v>
      </x:c>
      <x:c r="E30" s="11" t="s">
        <x:v>265</x:v>
      </x:c>
      <x:c r="F30" s="12" t="s">
        <x:v>266</x:v>
      </x:c>
    </x:row>
    <x:row r="31" ht="48" customHeight="1">
      <x:c r="A31" s="10" t="s">
        <x:v>231</x:v>
      </x:c>
      <x:c r="B31" s="10" t="s">
        <x:v>267</x:v>
      </x:c>
      <x:c r="C31" s="11" t="s">
        <x:v>268</x:v>
      </x:c>
      <x:c r="D31" s="11" t="s">
        <x:v>269</x:v>
      </x:c>
      <x:c r="E31" s="11" t="s">
        <x:v>270</x:v>
      </x:c>
      <x:c r="F31" s="12" t="s">
        <x:v>256</x:v>
      </x:c>
    </x:row>
    <x:row r="32" ht="48" customHeight="1">
      <x:c r="A32" s="10" t="s">
        <x:v>231</x:v>
      </x:c>
      <x:c r="B32" s="10" t="s">
        <x:v>271</x:v>
      </x:c>
      <x:c r="C32" s="11" t="s">
        <x:v>272</x:v>
      </x:c>
      <x:c r="D32" s="11" t="s">
        <x:v>273</x:v>
      </x:c>
      <x:c r="E32" s="11" t="s">
        <x:v>274</x:v>
      </x:c>
      <x:c r="F32" s="12" t="s">
        <x:v>146</x:v>
      </x:c>
    </x:row>
    <x:row r="33" ht="48" customHeight="1">
      <x:c r="A33" s="10" t="s">
        <x:v>231</x:v>
      </x:c>
      <x:c r="B33" s="10" t="s">
        <x:v>275</x:v>
      </x:c>
      <x:c r="C33" s="11" t="s">
        <x:v>276</x:v>
      </x:c>
      <x:c r="D33" s="11" t="s">
        <x:v>277</x:v>
      </x:c>
      <x:c r="E33" s="11" t="s">
        <x:v>278</x:v>
      </x:c>
      <x:c r="F33" s="12" t="s">
        <x:v>195</x:v>
      </x:c>
    </x:row>
    <x:row r="34" ht="15.75" customHeight="1"/>
    <x:row r="35" ht="24" customHeight="1">
      <x:c r="A35" s="25" t="s">
        <x:v>279</x:v>
      </x:c>
    </x:row>
    <x:row r="36" ht="81.75" customHeight="1">
      <x:c r="A36" s="26" t="s">
        <x:v>280</x:v>
      </x:c>
      <x:c r="B36" s="27" t="s">
        <x:v>281</x:v>
      </x:c>
      <x:c r="C36" s="27" t="s">
        <x:v>282</x:v>
      </x:c>
    </x:row>
    <x:row r="37" ht="81.75" customHeight="1">
      <x:c r="A37" s="26" t="s">
        <x:v>283</x:v>
      </x:c>
      <x:c r="B37" s="28" t="s">
        <x:v>284</x:v>
      </x:c>
      <x:c r="C37" s="28" t="s">
        <x:v>285</x:v>
      </x:c>
    </x:row>
    <x:row r="38" ht="81.75" customHeight="1">
      <x:c r="A38" s="26" t="s">
        <x:v>286</x:v>
      </x:c>
      <x:c r="B38" s="28" t="s">
        <x:v>287</x:v>
      </x:c>
      <x:c r="C38" s="28" t="s">
        <x:v>288</x:v>
      </x:c>
    </x:row>
    <x:row r="39" ht="81.75" customHeight="1">
      <x:c r="A39" s="26" t="s">
        <x:v>289</x:v>
      </x:c>
      <x:c r="B39" s="28" t="s">
        <x:v>290</x:v>
      </x:c>
      <x:c r="C39" s="28" t="s">
        <x:v>291</x:v>
      </x:c>
    </x:row>
    <x:row r="40">
      <x:c r="A40" s="26" t="s">
        <x:v>292</x:v>
      </x:c>
      <x:c r="B40" s="28" t="s">
        <x:v>293</x:v>
      </x:c>
      <x:c r="C40" s="28"/>
    </x:row>
    <x:row r="41" ht="15.75" customHeight="1"/>
    <x:row r="42" ht="26" customHeight="1">
      <x:c r="A42" s="79" t="str">
        <x:v>ĐỐI CHIẾU CÂU HỎI MULTIPLAYER VÀ MỤC TIÊU ĐÁNH GIÁ</x:v>
      </x:c>
      <x:c r="B42" s="79"/>
      <x:c r="C42" s="79"/>
      <x:c r="D42" s="79"/>
      <x:c r="E42" s="79"/>
      <x:c r="F42" s="79"/>
    </x:row>
    <x:row r="43" ht="32" customHeight="1">
      <x:c r="A43" s="90" t="str">
        <x:v>Phiếu / nhóm</x:v>
      </x:c>
      <x:c r="B43" s="90" t="str">
        <x:v>Mã</x:v>
      </x:c>
      <x:c r="C43" s="90" t="str">
        <x:v>Nội dung được đo</x:v>
      </x:c>
      <x:c r="D43" s="90" t="str">
        <x:v>Lý do sử dụng</x:v>
      </x:c>
      <x:c r="E43" s="90" t="str">
        <x:v>Cách dùng khi phân tích</x:v>
      </x:c>
      <x:c r="F43" s="90" t="str">
        <x:v>Đáp án / ghi chú</x:v>
      </x:c>
    </x:row>
    <x:row r="44" ht="56" customHeight="1">
      <x:c r="A44" s="63" t="str">
        <x:v>Multiplayer</x:v>
      </x:c>
      <x:c r="B44" s="63" t="str">
        <x:v>T1–T6</x:v>
      </x:c>
      <x:c r="C44" s="61" t="str">
        <x:v>Độ ổn định, đồng bộ, trạng thái chung và giao tiếp</x:v>
      </x:c>
      <x:c r="D44" s="61" t="str">
        <x:v>Lỗi mạng hoặc đồng bộ có thể làm giảm hiệu quả phối hợp dù người dùng hiểu đúng quy trình.</x:v>
      </x:c>
      <x:c r="E44" s="61" t="str">
        <x:v>Báo cáo từng mục; đối chiếu T1–T6 với O7 và phản hồi I5.</x:v>
      </x:c>
      <x:c r="F44" s="91" t="str">
        <x:v>Thang 1–5; N/A không đưa vào trung bình</x:v>
      </x:c>
    </x:row>
    <x:row r="45" ht="56" customHeight="1">
      <x:c r="A45" s="64" t="str">
        <x:v>Multiplayer</x:v>
      </x:c>
      <x:c r="B45" s="64" t="str">
        <x:v>TW1–TW3</x:v>
      </x:c>
      <x:c r="C45" s="62" t="str">
        <x:v>Cấu trúc nhóm, vai trò và lập kế hoạch</x:v>
      </x:c>
      <x:c r="D45" s="62" t="str">
        <x:v>Vai trò rõ ràng giúp phân chia công việc và giảm nhầm lẫn trong tình huống khẩn cấp.</x:v>
      </x:c>
      <x:c r="E45" s="62" t="str">
        <x:v>Phân tích từng mục; đối chiếu với O8 và I2.</x:v>
      </x:c>
      <x:c r="F45" s="92" t="str">
        <x:v>Thang 1–5</x:v>
      </x:c>
    </x:row>
    <x:row r="46" ht="56" customHeight="1">
      <x:c r="A46" s="64" t="str">
        <x:v>Multiplayer</x:v>
      </x:c>
      <x:c r="B46" s="64" t="str">
        <x:v>TW4–TW6</x:v>
      </x:c>
      <x:c r="C46" s="62" t="str">
        <x:v>Giao tiếp, nhận thức tình huống chung và phối hợp nhiệm vụ</x:v>
      </x:c>
      <x:c r="D46" s="62" t="str">
        <x:v>Nhóm cần trao đổi thông tin kịp thời, biết đồng đội đang làm gì và tránh bỏ sót/trùng lặp.</x:v>
      </x:c>
      <x:c r="E46" s="62" t="str">
        <x:v>Đối chiếu điểm cảm nhận với O5–O6 và I3–I4.</x:v>
      </x:c>
      <x:c r="F46" s="92" t="str">
        <x:v>Thang 1–5</x:v>
      </x:c>
    </x:row>
    <x:row r="47" ht="56" customHeight="1">
      <x:c r="A47" s="64" t="str">
        <x:v>Multiplayer</x:v>
      </x:c>
      <x:c r="B47" s="64" t="str">
        <x:v>TW7–TW11</x:v>
      </x:c>
      <x:c r="C47" s="62" t="str">
        <x:v>Hỗ trợ lẫn nhau, thích ứng, xử lý bất đồng và hiệu quả nhóm</x:v>
      </x:c>
      <x:c r="D47" s="62" t="str">
        <x:v>Đo chất lượng hợp tác ngoài việc hệ thống chỉ kết nối được hai người.</x:v>
      </x:c>
      <x:c r="E47" s="62" t="str">
        <x:v>Phân tích theo từng khía cạnh; không gộp thành SUS.</x:v>
      </x:c>
      <x:c r="F47" s="92" t="str">
        <x:v>Thang 1–5</x:v>
      </x:c>
    </x:row>
    <x:row r="48" ht="56" customHeight="1">
      <x:c r="A48" s="64" t="str">
        <x:v>Multiplayer</x:v>
      </x:c>
      <x:c r="B48" s="64" t="str">
        <x:v>TR1–TR6</x:v>
      </x:c>
      <x:c r="C48" s="62" t="str">
        <x:v>Giá trị huấn luyện kỹ năng nhóm</x:v>
      </x:c>
      <x:c r="D48" s="62" t="str">
        <x:v>Đo perceived learning về phối hợp, học qua quan sát, phản hồi và tính thực tế cảm nhận.</x:v>
      </x:c>
      <x:c r="E48" s="62" t="str">
        <x:v>Dùng như bằng chứng cảm nhận; không thay thế dữ liệu hành vi O1–O9.</x:v>
      </x:c>
      <x:c r="F48" s="92" t="str">
        <x:v>Thang 1–5</x:v>
      </x:c>
    </x:row>
    <x:row r="49" ht="56" customHeight="1">
      <x:c r="A49" s="64" t="str">
        <x:v>Multiplayer</x:v>
      </x:c>
      <x:c r="B49" s="64" t="str">
        <x:v>CMP1–CMP3</x:v>
      </x:c>
      <x:c r="C49" s="62" t="str">
        <x:v>So sánh trực tiếp singleplayer và multiplayer</x:v>
      </x:c>
      <x:c r="D49" s="62" t="str">
        <x:v>Xác định mode phù hợp hơn cho quy trình cá nhân, teamwork và ý định sử dụng tương lai.</x:v>
      </x:c>
      <x:c r="E49" s="62" t="str">
        <x:v>Báo cáo tỷ lệ lựa chọn; chỉ hỏi người đã trải nghiệm cả hai mode.</x:v>
      </x:c>
      <x:c r="F49" s="92" t="str">
        <x:v>Biến phân loại</x:v>
      </x:c>
    </x:row>
    <x:row r="50" ht="56" customHeight="1">
      <x:c r="A50" s="64" t="str">
        <x:v>Multiplayer</x:v>
      </x:c>
      <x:c r="B50" s="64" t="str">
        <x:v>WL1–WL3, V1</x:v>
      </x:c>
      <x:c r="C50" s="62" t="str">
        <x:v>Nỗ lực phối hợp, áp lực thời gian, frustration và khó chịu VR</x:v>
      </x:c>
      <x:c r="D50" s="62" t="str">
        <x:v>Multiplayer có thể tăng khối lượng nhận thức hoặc kéo dài thời gian sử dụng VR.</x:v>
      </x:c>
      <x:c r="E50" s="62" t="str">
        <x:v>Báo cáo từng mục; đối chiếu với thời gian O2 và trường hợp dừng O1.</x:v>
      </x:c>
      <x:c r="F50" s="92" t="str">
        <x:v>Không cộng vào SUS</x:v>
      </x:c>
    </x:row>
    <x:row r="51" ht="56" customHeight="1">
      <x:c r="A51" s="64" t="str">
        <x:v>Multiplayer</x:v>
      </x:c>
      <x:c r="B51" s="64" t="str">
        <x:v>O1–O9</x:v>
      </x:c>
      <x:c r="C51" s="62" t="str">
        <x:v>Hiệu suất và hành vi teamwork khách quan</x:v>
      </x:c>
      <x:c r="D51" s="62" t="str">
        <x:v>Đánh giá nhóm bằng kết quả, thời gian, lỗi, giao tiếp, bỏ sót/trùng lặp và phân vai quan sát được.</x:v>
      </x:c>
      <x:c r="E51" s="62" t="str">
        <x:v>Dùng làm bằng chứng chính về hiệu quả phối hợp; nên có checklist thống nhất.</x:v>
      </x:c>
      <x:c r="F51" s="92" t="str">
        <x:v>Nhà nghiên cứu ghi</x:v>
      </x:c>
    </x:row>
    <x:row r="52" ht="56" customHeight="1">
      <x:c r="A52" s="64" t="str">
        <x:v>Multiplayer</x:v>
      </x:c>
      <x:c r="B52" s="64" t="str">
        <x:v>I1–I10</x:v>
      </x:c>
      <x:c r="C52" s="62" t="str">
        <x:v>Phản hồi định tính về teamwork và tính năng mong muốn</x:v>
      </x:c>
      <x:c r="D52" s="62" t="str">
        <x:v>Giải thích nguyên nhân của điểm thấp/cao và xác định ưu tiên sửa đổi cụ thể.</x:v>
      </x:c>
      <x:c r="E52" s="62" t="str">
        <x:v>Mã hóa chủ đề, trích dẫn ẩn danh và đếm số người đề cập mỗi chủ đề.</x:v>
      </x:c>
      <x:c r="F52" s="92" t="str">
        <x:v>Không chấm điểm</x:v>
      </x:c>
    </x:row>
    <x:row r="53" ht="15.75" customHeight="1"/>
    <x:row r="54" ht="26" customHeight="1">
      <x:c r="A54" s="79" t="str">
        <x:v>NGUỒN THAM KHẢO CHO PHẦN MULTIPLAYER</x:v>
      </x:c>
      <x:c r="B54" s="79"/>
      <x:c r="C54" s="79"/>
      <x:c r="D54" s="79"/>
      <x:c r="E54" s="79"/>
      <x:c r="F54" s="79"/>
    </x:row>
    <x:row r="55" ht="62" customHeight="1">
      <x:c r="A55" s="103" t="str">
        <x:v>AHRQ TeamSTEPPS</x:v>
      </x:c>
      <x:c r="B55" s="97" t="str">
        <x:v>Khung teamwork gồm Communication, Team Leadership, Situation Monitoring và Mutual Support.</x:v>
      </x:c>
      <x:c r="C55" s="97" t="str">
        <x:v>https://www.ahrq.gov/teamstepps-program/curriculum/intro/overview.html</x:v>
      </x:c>
    </x:row>
    <x:row r="56" ht="62" customHeight="1">
      <x:c r="A56" s="103" t="str">
        <x:v>AHRQ Measurement Tools</x:v>
      </x:c>
      <x:c r="B56" s="98" t="str">
        <x:v>Tài liệu tham khảo cho questionnaire cảm nhận và công cụ quan sát hiệu suất nhóm.</x:v>
      </x:c>
      <x:c r="C56" s="98" t="str">
        <x:v>https://www.ahrq.gov/teamstepps-program/resources/tools/index.html</x:v>
      </x:c>
    </x:row>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 ref="A35:F35"/>
    <x:mergeCell ref="A2:F2"/>
    <x:mergeCell ref="A42:F42"/>
    <x:mergeCell ref="A54:F54"/>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54" hidden="0" customWidth="1"/>
    <x:col min="3" max="3" width="20" hidden="0" customWidth="1"/>
    <x:col min="4" max="4" width="36" hidden="0" customWidth="1"/>
    <x:col min="5" max="5" width="26" hidden="0" customWidth="1"/>
    <x:col min="6" max="6" width="32" hidden="0" customWidth="1"/>
    <x:col min="7" max="7" width="15" hidden="0" customWidth="1"/>
  </x:cols>
  <x:sheetData>
    <x:row r="1" ht="32" customHeight="1">
      <x:c r="A1" s="36" t="str">
        <x:v>PHIẾU ĐÁNH GIÁ — VR FIRE SAFETY (MULTIPLAYER)</x:v>
      </x:c>
      <x:c r="B1" s="36"/>
      <x:c r="C1" s="36"/>
      <x:c r="D1" s="36"/>
      <x:c r="E1" s="36"/>
      <x:c r="F1" s="36"/>
      <x:c r="G1" s="36"/>
    </x:row>
    <x:row r="2" ht="34" customHeight="1">
      <x:c r="A2" s="40" t="str">
        <x:v>Điền ngay sau phiên multiplayer. Sheet này tập trung vào đồng bộ kỹ thuật, giao tiếp, phân vai, phối hợp nhóm và so sánh với singleplayer.</x:v>
      </x:c>
      <x:c r="B2" s="40"/>
      <x:c r="C2" s="40"/>
      <x:c r="D2" s="40"/>
      <x:c r="E2" s="40"/>
      <x:c r="F2" s="40"/>
      <x:c r="G2" s="40"/>
    </x:row>
    <x:row r="3">
      <x:c r="A3" s="44" t="str">
        <x:v>Mã người tham gia</x:v>
      </x:c>
      <x:c r="B3" s="45" t="str"/>
      <x:c r="C3" s="44" t="str">
        <x:v>Mã người cùng nhóm</x:v>
      </x:c>
      <x:c r="D3" s="45" t="str"/>
      <x:c r="E3" s="44" t="str">
        <x:v>Ngày</x:v>
      </x:c>
      <x:c r="F3" s="46" t="str"/>
    </x:row>
    <x:row r="4">
      <x:c r="A4" s="44" t="str">
        <x:v>Vai trò chính</x:v>
      </x:c>
      <x:c r="B4" s="45" t="str"/>
      <x:c r="C4" s="44" t="str">
        <x:v>Kênh giao tiếp chính</x:v>
      </x:c>
      <x:c r="D4" s="45" t="str"/>
      <x:c r="E4" s="44" t="str">
        <x:v>Mức độ quen biết đồng đội</x:v>
      </x:c>
      <x:c r="F4" s="45" t="str"/>
    </x:row>
    <x:row r="6" ht="24" customHeight="1">
      <x:c r="A6" s="49" t="str">
        <x:v>A. CHẤT LƯỢNG HỆ THỐNG MULTIPLAYER</x:v>
      </x:c>
      <x:c r="B6" s="49"/>
      <x:c r="C6" s="49"/>
      <x:c r="D6" s="49"/>
      <x:c r="E6" s="49"/>
      <x:c r="F6" s="49"/>
      <x:c r="G6" s="49"/>
    </x:row>
    <x:row r="7" ht="30" customHeight="1">
      <x:c r="A7" s="55" t="str">
        <x:v>Mã</x:v>
      </x:c>
      <x:c r="B7" s="55" t="str">
        <x:v>Câu hỏi / nhận định</x:v>
      </x:c>
      <x:c r="C7" s="55" t="str">
        <x:v>Loại dữ liệu</x:v>
      </x:c>
      <x:c r="D7" s="55" t="str">
        <x:v>Phương án / thang đo</x:v>
      </x:c>
      <x:c r="E7" s="55" t="str">
        <x:v>Câu trả lời</x:v>
      </x:c>
      <x:c r="F7" s="55" t="str">
        <x:v>Ghi chú</x:v>
      </x:c>
      <x:c r="G7" s="55" t="str">
        <x:v>Mã hóa (NCV)</x:v>
      </x:c>
    </x:row>
    <x:row r="8" ht="46" customHeight="1">
      <x:c r="A8" s="69" t="str">
        <x:v>T1</x:v>
      </x:c>
      <x:c r="B8" s="61" t="str">
        <x:v>Kết nối giữa hai người chơi được duy trì ổn định trong suốt phiên trải nghiệm.</x:v>
      </x:c>
      <x:c r="C8" s="61" t="str">
        <x:v>Độ ổn định</x:v>
      </x:c>
      <x:c r="D8" s="61" t="str">
        <x:v>1 = Hoàn toàn không đồng ý; 5 = Hoàn toàn đồng ý; N/A = Không đánh giá được</x:v>
      </x:c>
      <x:c r="E8" s="72" t="str"/>
      <x:c r="F8" s="61" t="str"/>
      <x:c r="G8" s="76" t="str"/>
    </x:row>
    <x:row r="9" ht="46" customHeight="1">
      <x:c r="A9" s="69" t="str">
        <x:v>T2</x:v>
      </x:c>
      <x:c r="B9" s="62" t="str">
        <x:v>Vị trí, hướng nhìn và chuyển động tay của người chơi còn lại được hiển thị chính xác.</x:v>
      </x:c>
      <x:c r="C9" s="62" t="str">
        <x:v>Đồng bộ avatar</x:v>
      </x:c>
      <x:c r="D9" s="62" t="str">
        <x:v>1 = Hoàn toàn không đồng ý; 5 = Hoàn toàn đồng ý; N/A = Không đánh giá được</x:v>
      </x:c>
      <x:c r="E9" s="72" t="str"/>
      <x:c r="F9" s="62" t="str"/>
      <x:c r="G9" s="76" t="str"/>
    </x:row>
    <x:row r="10" ht="46" customHeight="1">
      <x:c r="A10" s="69" t="str">
        <x:v>T3</x:v>
      </x:c>
      <x:c r="B10" s="62" t="str">
        <x:v>Hành động của người chơi còn lại và thay đổi của vật thể được đồng bộ kịp thời.</x:v>
      </x:c>
      <x:c r="C10" s="62" t="str">
        <x:v>Độ trễ</x:v>
      </x:c>
      <x:c r="D10" s="62" t="str">
        <x:v>1 = Hoàn toàn không đồng ý; 5 = Hoàn toàn đồng ý; N/A = Không đánh giá được</x:v>
      </x:c>
      <x:c r="E10" s="72" t="str"/>
      <x:c r="F10" s="62" t="str"/>
      <x:c r="G10" s="76" t="str"/>
    </x:row>
    <x:row r="11" ht="46" customHeight="1">
      <x:c r="A11" s="69" t="str">
        <x:v>T4</x:v>
      </x:c>
      <x:c r="B11" s="62" t="str">
        <x:v>Cả hai người chơi quan sát được cùng một trạng thái khí gas, đám cháy và vật thể quan trọng.</x:v>
      </x:c>
      <x:c r="C11" s="62" t="str">
        <x:v>Trạng thái chung</x:v>
      </x:c>
      <x:c r="D11" s="62" t="str">
        <x:v>1 = Hoàn toàn không đồng ý; 5 = Hoàn toàn đồng ý; N/A = Không đánh giá được</x:v>
      </x:c>
      <x:c r="E11" s="72" t="str"/>
      <x:c r="F11" s="62" t="str"/>
      <x:c r="G11" s="76" t="str"/>
    </x:row>
    <x:row r="12" ht="46" customHeight="1">
      <x:c r="A12" s="69" t="str">
        <x:v>T5</x:v>
      </x:c>
      <x:c r="B12" s="62" t="str">
        <x:v>Âm thanh hoặc kênh giao tiếp đủ rõ để hai người trao đổi trong lúc xử lý tình huống.</x:v>
      </x:c>
      <x:c r="C12" s="62" t="str">
        <x:v>Giao tiếp</x:v>
      </x:c>
      <x:c r="D12" s="62" t="str">
        <x:v>1 = Hoàn toàn không đồng ý; 5 = Hoàn toàn đồng ý; N/A = Không sử dụng</x:v>
      </x:c>
      <x:c r="E12" s="72" t="str"/>
      <x:c r="F12" s="62" t="str"/>
      <x:c r="G12" s="76" t="str"/>
    </x:row>
    <x:row r="13" ht="46" customHeight="1">
      <x:c r="A13" s="69" t="str">
        <x:v>T6</x:v>
      </x:c>
      <x:c r="B13" s="62" t="str">
        <x:v>Độ trễ hoặc mất đồng bộ không làm gián đoạn đáng kể việc phối hợp.</x:v>
      </x:c>
      <x:c r="C13" s="62" t="str">
        <x:v>Ảnh hưởng kỹ thuật</x:v>
      </x:c>
      <x:c r="D13" s="62" t="str">
        <x:v>1 = Hoàn toàn không đồng ý; 5 = Hoàn toàn đồng ý; N/A = Không đánh giá được</x:v>
      </x:c>
      <x:c r="E13" s="72" t="str"/>
      <x:c r="F13" s="62" t="str"/>
      <x:c r="G13" s="76" t="str"/>
    </x:row>
    <x:row r="15" ht="24" customHeight="1">
      <x:c r="A15" s="79" t="str">
        <x:v>B. GIAO TIẾP, PHÂN VAI VÀ PHỐI HỢP NHÓM</x:v>
      </x:c>
      <x:c r="B15" s="79"/>
      <x:c r="C15" s="79"/>
      <x:c r="D15" s="79"/>
      <x:c r="E15" s="79"/>
      <x:c r="F15" s="79"/>
      <x:c r="G15" s="79"/>
    </x:row>
    <x:row r="16" ht="30" customHeight="1">
      <x:c r="A16" s="55" t="str">
        <x:v>Mã</x:v>
      </x:c>
      <x:c r="B16" s="55" t="str">
        <x:v>Câu hỏi / nhận định</x:v>
      </x:c>
      <x:c r="C16" s="55" t="str">
        <x:v>Loại dữ liệu</x:v>
      </x:c>
      <x:c r="D16" s="55" t="str">
        <x:v>Phương án / thang đo</x:v>
      </x:c>
      <x:c r="E16" s="55" t="str">
        <x:v>Câu trả lời</x:v>
      </x:c>
      <x:c r="F16" s="55" t="str">
        <x:v>Ghi chú</x:v>
      </x:c>
      <x:c r="G16" s="55" t="str">
        <x:v>Mã hóa (NCV)</x:v>
      </x:c>
    </x:row>
    <x:row r="17" ht="46" customHeight="1">
      <x:c r="A17" s="69" t="str">
        <x:v>TW1</x:v>
      </x:c>
      <x:c r="B17" s="61" t="str">
        <x:v>Tôi hiểu rõ vai trò và trách nhiệm của mình trong nhóm.</x:v>
      </x:c>
      <x:c r="C17" s="61" t="str">
        <x:v>Phân vai</x:v>
      </x:c>
      <x:c r="D17" s="61" t="str">
        <x:v>1 = Hoàn toàn không đồng ý; 5 = Hoàn toàn đồng ý</x:v>
      </x:c>
      <x:c r="E17" s="72" t="str"/>
      <x:c r="F17" s="61" t="str"/>
      <x:c r="G17" s="76" t="str"/>
    </x:row>
    <x:row r="18" ht="46" customHeight="1">
      <x:c r="A18" s="69" t="str">
        <x:v>TW2</x:v>
      </x:c>
      <x:c r="B18" s="62" t="str">
        <x:v>Tôi hiểu rõ vai trò và trách nhiệm của người chơi còn lại.</x:v>
      </x:c>
      <x:c r="C18" s="62" t="str">
        <x:v>Phân vai</x:v>
      </x:c>
      <x:c r="D18" s="62" t="str">
        <x:v>1 = Hoàn toàn không đồng ý; 5 = Hoàn toàn đồng ý</x:v>
      </x:c>
      <x:c r="E18" s="72" t="str"/>
      <x:c r="F18" s="62" t="str"/>
      <x:c r="G18" s="76" t="str"/>
    </x:row>
    <x:row r="19" ht="46" customHeight="1">
      <x:c r="A19" s="69" t="str">
        <x:v>TW3</x:v>
      </x:c>
      <x:c r="B19" s="62" t="str">
        <x:v>Hai người thống nhất được mục tiêu và kế hoạch trước khi bắt đầu xử lý.</x:v>
      </x:c>
      <x:c r="C19" s="62" t="str">
        <x:v>Lập kế hoạch</x:v>
      </x:c>
      <x:c r="D19" s="62" t="str">
        <x:v>1 = Hoàn toàn không đồng ý; 5 = Hoàn toàn đồng ý</x:v>
      </x:c>
      <x:c r="E19" s="72" t="str"/>
      <x:c r="F19" s="62" t="str"/>
      <x:c r="G19" s="76" t="str"/>
    </x:row>
    <x:row r="20" ht="46" customHeight="1">
      <x:c r="A20" s="69" t="str">
        <x:v>TW4</x:v>
      </x:c>
      <x:c r="B20" s="62" t="str">
        <x:v>Thông tin quan trọng được truyền đạt rõ ràng và đúng thời điểm.</x:v>
      </x:c>
      <x:c r="C20" s="62" t="str">
        <x:v>Giao tiếp</x:v>
      </x:c>
      <x:c r="D20" s="62" t="str">
        <x:v>1 = Hoàn toàn không đồng ý; 5 = Hoàn toàn đồng ý</x:v>
      </x:c>
      <x:c r="E20" s="72" t="str"/>
      <x:c r="F20" s="62" t="str"/>
      <x:c r="G20" s="76" t="str"/>
    </x:row>
    <x:row r="21" ht="46" customHeight="1">
      <x:c r="A21" s="69" t="str">
        <x:v>TW5</x:v>
      </x:c>
      <x:c r="B21" s="62" t="str">
        <x:v>Tôi luôn nhận biết được người chơi còn lại đang ở đâu và đang thực hiện hành động gì.</x:v>
      </x:c>
      <x:c r="C21" s="62" t="str">
        <x:v>Nhận thức tình huống</x:v>
      </x:c>
      <x:c r="D21" s="62" t="str">
        <x:v>1 = Hoàn toàn không đồng ý; 5 = Hoàn toàn đồng ý</x:v>
      </x:c>
      <x:c r="E21" s="72" t="str"/>
      <x:c r="F21" s="62" t="str"/>
      <x:c r="G21" s="76" t="str"/>
    </x:row>
    <x:row r="22" ht="46" customHeight="1">
      <x:c r="A22" s="69" t="str">
        <x:v>TW6</x:v>
      </x:c>
      <x:c r="B22" s="62" t="str">
        <x:v>Cách phân chia nhiệm vụ giúp tránh bỏ sót hoặc thực hiện trùng lặp công việc.</x:v>
      </x:c>
      <x:c r="C22" s="62" t="str">
        <x:v>Phối hợp nhiệm vụ</x:v>
      </x:c>
      <x:c r="D22" s="62" t="str">
        <x:v>1 = Hoàn toàn không đồng ý; 5 = Hoàn toàn đồng ý</x:v>
      </x:c>
      <x:c r="E22" s="72" t="str"/>
      <x:c r="F22" s="62" t="str"/>
      <x:c r="G22" s="76" t="str"/>
    </x:row>
    <x:row r="23" ht="46" customHeight="1">
      <x:c r="A23" s="69" t="str">
        <x:v>TW7</x:v>
      </x:c>
      <x:c r="B23" s="62" t="str">
        <x:v>Người chơi còn lại hỗ trợ tôi kịp thời khi tôi gặp khó khăn.</x:v>
      </x:c>
      <x:c r="C23" s="62" t="str">
        <x:v>Hỗ trợ lẫn nhau</x:v>
      </x:c>
      <x:c r="D23" s="62" t="str">
        <x:v>1 = Hoàn toàn không đồng ý; 5 = Hoàn toàn đồng ý</x:v>
      </x:c>
      <x:c r="E23" s="72" t="str"/>
      <x:c r="F23" s="62" t="str"/>
      <x:c r="G23" s="76" t="str"/>
    </x:row>
    <x:row r="24" ht="46" customHeight="1">
      <x:c r="A24" s="69" t="str">
        <x:v>TW8</x:v>
      </x:c>
      <x:c r="B24" s="62" t="str">
        <x:v>Nhóm điều chỉnh kế hoạch phù hợp khi tình huống thay đổi.</x:v>
      </x:c>
      <x:c r="C24" s="62" t="str">
        <x:v>Khả năng thích ứng</x:v>
      </x:c>
      <x:c r="D24" s="62" t="str">
        <x:v>1 = Hoàn toàn không đồng ý; 5 = Hoàn toàn đồng ý</x:v>
      </x:c>
      <x:c r="E24" s="72" t="str"/>
      <x:c r="F24" s="62" t="str"/>
      <x:c r="G24" s="76" t="str"/>
    </x:row>
    <x:row r="25" ht="46" customHeight="1">
      <x:c r="A25" s="69" t="str">
        <x:v>TW9</x:v>
      </x:c>
      <x:c r="B25" s="62" t="str">
        <x:v>Khi xuất hiện bất đồng hoặc nhầm lẫn, hai người giải quyết được mà không làm mất an toàn.</x:v>
      </x:c>
      <x:c r="C25" s="62" t="str">
        <x:v>Xử lý bất đồng</x:v>
      </x:c>
      <x:c r="D25" s="62" t="str">
        <x:v>1 = Hoàn toàn không đồng ý; 5 = Hoàn toàn đồng ý</x:v>
      </x:c>
      <x:c r="E25" s="72" t="str"/>
      <x:c r="F25" s="62" t="str"/>
      <x:c r="G25" s="76" t="str"/>
    </x:row>
    <x:row r="26" ht="46" customHeight="1">
      <x:c r="A26" s="69" t="str">
        <x:v>TW10</x:v>
      </x:c>
      <x:c r="B26" s="62" t="str">
        <x:v>Nhóm hoàn thành nhiệm vụ một cách hiệu quả.</x:v>
      </x:c>
      <x:c r="C26" s="62" t="str">
        <x:v>Hiệu quả nhóm</x:v>
      </x:c>
      <x:c r="D26" s="62" t="str">
        <x:v>1 = Hoàn toàn không đồng ý; 5 = Hoàn toàn đồng ý</x:v>
      </x:c>
      <x:c r="E26" s="72" t="str"/>
      <x:c r="F26" s="62" t="str"/>
      <x:c r="G26" s="76" t="str"/>
    </x:row>
    <x:row r="27" ht="46" customHeight="1">
      <x:c r="A27" s="69" t="str">
        <x:v>TW11</x:v>
      </x:c>
      <x:c r="B27" s="62" t="str">
        <x:v>Việc phối hợp với người chơi còn lại diễn ra tự nhiên.</x:v>
      </x:c>
      <x:c r="C27" s="62" t="str">
        <x:v>Trải nghiệm hợp tác</x:v>
      </x:c>
      <x:c r="D27" s="62" t="str">
        <x:v>1 = Hoàn toàn không đồng ý; 5 = Hoàn toàn đồng ý</x:v>
      </x:c>
      <x:c r="E27" s="72" t="str"/>
      <x:c r="F27" s="62" t="str"/>
      <x:c r="G27" s="76" t="str"/>
    </x:row>
    <x:row r="29" ht="24" customHeight="1">
      <x:c r="A29" s="49" t="str">
        <x:v>C. GIÁ TRỊ HUẤN LUYỆN VÀ SO SÁNH VỚI SINGLEPLAYER</x:v>
      </x:c>
      <x:c r="B29" s="49"/>
      <x:c r="C29" s="49"/>
      <x:c r="D29" s="49"/>
      <x:c r="E29" s="49"/>
      <x:c r="F29" s="49"/>
      <x:c r="G29" s="49"/>
    </x:row>
    <x:row r="30" ht="30" customHeight="1">
      <x:c r="A30" s="55" t="str">
        <x:v>Mã</x:v>
      </x:c>
      <x:c r="B30" s="55" t="str">
        <x:v>Câu hỏi / nhận định</x:v>
      </x:c>
      <x:c r="C30" s="55" t="str">
        <x:v>Loại dữ liệu</x:v>
      </x:c>
      <x:c r="D30" s="55" t="str">
        <x:v>Phương án / thang đo</x:v>
      </x:c>
      <x:c r="E30" s="55" t="str">
        <x:v>Câu trả lời</x:v>
      </x:c>
      <x:c r="F30" s="55" t="str">
        <x:v>Ghi chú</x:v>
      </x:c>
      <x:c r="G30" s="55" t="str">
        <x:v>Mã hóa (NCV)</x:v>
      </x:c>
    </x:row>
    <x:row r="31" ht="46" customHeight="1">
      <x:c r="A31" s="69" t="str">
        <x:v>TR1</x:v>
      </x:c>
      <x:c r="B31" s="61" t="str">
        <x:v>Chế độ multiplayer giúp tôi hiểu rõ hơn cách phối hợp khi xử lý sự cố.</x:v>
      </x:c>
      <x:c r="C31" s="61" t="str">
        <x:v>Giá trị huấn luyện</x:v>
      </x:c>
      <x:c r="D31" s="61" t="str">
        <x:v>1 = Hoàn toàn không đồng ý; 5 = Hoàn toàn đồng ý</x:v>
      </x:c>
      <x:c r="E31" s="72" t="str"/>
      <x:c r="F31" s="61" t="str"/>
      <x:c r="G31" s="76" t="str"/>
    </x:row>
    <x:row r="32" ht="46" customHeight="1">
      <x:c r="A32" s="69" t="str">
        <x:v>TR2</x:v>
      </x:c>
      <x:c r="B32" s="62" t="str">
        <x:v>Quan sát hành động của người chơi còn lại giúp tôi học thêm cách xử lý tình huống.</x:v>
      </x:c>
      <x:c r="C32" s="62" t="str">
        <x:v>Học qua quan sát</x:v>
      </x:c>
      <x:c r="D32" s="62" t="str">
        <x:v>1 = Hoàn toàn không đồng ý; 5 = Hoàn toàn đồng ý</x:v>
      </x:c>
      <x:c r="E32" s="72" t="str"/>
      <x:c r="F32" s="62" t="str"/>
      <x:c r="G32" s="76" t="str"/>
    </x:row>
    <x:row r="33" ht="46" customHeight="1">
      <x:c r="A33" s="69" t="str">
        <x:v>TR3</x:v>
      </x:c>
      <x:c r="B33" s="62" t="str">
        <x:v>Phản hồi từ người chơi còn lại giúp tôi nhận ra hành động đúng hoặc sai.</x:v>
      </x:c>
      <x:c r="C33" s="62" t="str">
        <x:v>Học qua phản hồi</x:v>
      </x:c>
      <x:c r="D33" s="62" t="str">
        <x:v>1 = Hoàn toàn không đồng ý; 5 = Hoàn toàn đồng ý</x:v>
      </x:c>
      <x:c r="E33" s="72" t="str"/>
      <x:c r="F33" s="62" t="str"/>
      <x:c r="G33" s="76" t="str"/>
    </x:row>
    <x:row r="34" ht="46" customHeight="1">
      <x:c r="A34" s="69" t="str">
        <x:v>TR4</x:v>
      </x:c>
      <x:c r="B34" s="62" t="str">
        <x:v>Tình huống multiplayer tạo cảm giác gần với hoạt động phối hợp ngoài thực tế hơn singleplayer.</x:v>
      </x:c>
      <x:c r="C34" s="62" t="str">
        <x:v>Tính thực tế cảm nhận</x:v>
      </x:c>
      <x:c r="D34" s="62" t="str">
        <x:v>1 = Hoàn toàn không đồng ý; 5 = Hoàn toàn đồng ý</x:v>
      </x:c>
      <x:c r="E34" s="72" t="str"/>
      <x:c r="F34" s="62" t="str"/>
      <x:c r="G34" s="76" t="str"/>
    </x:row>
    <x:row r="35" ht="46" customHeight="1">
      <x:c r="A35" s="69" t="str">
        <x:v>TR5</x:v>
      </x:c>
      <x:c r="B35" s="62" t="str">
        <x:v>Yêu cầu giao tiếp và phối hợp khiến nhiệm vụ trở nên khó thực hiện hơn.</x:v>
      </x:c>
      <x:c r="C35" s="62" t="str">
        <x:v>Độ khó phối hợp</x:v>
      </x:c>
      <x:c r="D35" s="62" t="str">
        <x:v>1 = Hoàn toàn không đồng ý; 5 = Hoàn toàn đồng ý</x:v>
      </x:c>
      <x:c r="E35" s="72" t="str"/>
      <x:c r="F35" s="62" t="str"/>
      <x:c r="G35" s="76" t="str"/>
    </x:row>
    <x:row r="36" ht="46" customHeight="1">
      <x:c r="A36" s="69" t="str">
        <x:v>TR6</x:v>
      </x:c>
      <x:c r="B36" s="62" t="str">
        <x:v>Sau trải nghiệm, tôi tự tin hơn khi phải phối hợp với người khác trong tình huống khẩn cấp.</x:v>
      </x:c>
      <x:c r="C36" s="62" t="str">
        <x:v>Self-efficacy nhóm</x:v>
      </x:c>
      <x:c r="D36" s="62" t="str">
        <x:v>1 = Hoàn toàn không đồng ý; 5 = Hoàn toàn đồng ý</x:v>
      </x:c>
      <x:c r="E36" s="72" t="str"/>
      <x:c r="F36" s="62" t="str"/>
      <x:c r="G36" s="76" t="str"/>
    </x:row>
    <x:row r="37" ht="46" customHeight="1">
      <x:c r="A37" s="69" t="str">
        <x:v>CMP1</x:v>
      </x:c>
      <x:c r="B37" s="62" t="str">
        <x:v>Chế độ nào giúp bạn hiểu quy trình xử lý cá nhân tốt hơn?</x:v>
      </x:c>
      <x:c r="C37" s="62" t="str">
        <x:v>So sánh chế độ</x:v>
      </x:c>
      <x:c r="D37" s="62" t="str">
        <x:v>Chọn một phương án</x:v>
      </x:c>
      <x:c r="E37" s="72" t="str"/>
      <x:c r="F37" s="62" t="str"/>
      <x:c r="G37" s="76" t="str"/>
    </x:row>
    <x:row r="38" ht="46" customHeight="1">
      <x:c r="A38" s="69" t="str">
        <x:v>CMP2</x:v>
      </x:c>
      <x:c r="B38" s="62" t="str">
        <x:v>Chế độ nào hữu ích hơn để rèn luyện kỹ năng phối hợp nhóm?</x:v>
      </x:c>
      <x:c r="C38" s="62" t="str">
        <x:v>So sánh chế độ</x:v>
      </x:c>
      <x:c r="D38" s="62" t="str">
        <x:v>Chọn một phương án</x:v>
      </x:c>
      <x:c r="E38" s="72" t="str"/>
      <x:c r="F38" s="62" t="str"/>
      <x:c r="G38" s="76" t="str"/>
    </x:row>
    <x:row r="39" ht="46" customHeight="1">
      <x:c r="A39" s="69" t="str">
        <x:v>CMP3</x:v>
      </x:c>
      <x:c r="B39" s="62" t="str">
        <x:v>Bạn muốn hình thức nào được sử dụng trong một buổi huấn luyện tương lai?</x:v>
      </x:c>
      <x:c r="C39" s="62" t="str">
        <x:v>Ưu tiên</x:v>
      </x:c>
      <x:c r="D39" s="62" t="str">
        <x:v>Chọn một phương án</x:v>
      </x:c>
      <x:c r="E39" s="72" t="str"/>
      <x:c r="F39" s="62" t="str"/>
      <x:c r="G39" s="76" t="str"/>
    </x:row>
    <x:row r="41" ht="24" customHeight="1">
      <x:c r="A41" s="82" t="str">
        <x:v>D. KHỐI LƯỢNG PHỐI HỢP VÀ KHÓ CHỊU SAU VR</x:v>
      </x:c>
      <x:c r="B41" s="82"/>
      <x:c r="C41" s="82"/>
      <x:c r="D41" s="82"/>
      <x:c r="E41" s="82"/>
      <x:c r="F41" s="82"/>
      <x:c r="G41" s="82"/>
    </x:row>
    <x:row r="42" ht="30" customHeight="1">
      <x:c r="A42" s="55" t="str">
        <x:v>Mã</x:v>
      </x:c>
      <x:c r="B42" s="55" t="str">
        <x:v>Câu hỏi / nhận định</x:v>
      </x:c>
      <x:c r="C42" s="55" t="str">
        <x:v>Loại dữ liệu</x:v>
      </x:c>
      <x:c r="D42" s="55" t="str">
        <x:v>Phương án / thang đo</x:v>
      </x:c>
      <x:c r="E42" s="55" t="str">
        <x:v>Câu trả lời</x:v>
      </x:c>
      <x:c r="F42" s="55" t="str">
        <x:v>Ghi chú</x:v>
      </x:c>
      <x:c r="G42" s="55" t="str">
        <x:v>Mã hóa (NCV)</x:v>
      </x:c>
    </x:row>
    <x:row r="43" ht="46" customHeight="1">
      <x:c r="A43" s="69" t="str">
        <x:v>WL1</x:v>
      </x:c>
      <x:c r="B43" s="61" t="str">
        <x:v>Mức độ nỗ lực tinh thần cần thiết để theo dõi tình huống và đồng đội.</x:v>
      </x:c>
      <x:c r="C43" s="61" t="str">
        <x:v>Khối lượng nhận thức</x:v>
      </x:c>
      <x:c r="D43" s="61" t="str">
        <x:v>1 = Rất thấp; 5 = Rất cao</x:v>
      </x:c>
      <x:c r="E43" s="72" t="str"/>
      <x:c r="F43" s="61" t="str"/>
      <x:c r="G43" s="76" t="str"/>
    </x:row>
    <x:row r="44" ht="46" customHeight="1">
      <x:c r="A44" s="69" t="str">
        <x:v>WL2</x:v>
      </x:c>
      <x:c r="B44" s="62" t="str">
        <x:v>Mức độ áp lực thời gian trong lúc phối hợp.</x:v>
      </x:c>
      <x:c r="C44" s="62" t="str">
        <x:v>Áp lực thời gian</x:v>
      </x:c>
      <x:c r="D44" s="62" t="str">
        <x:v>1 = Rất thấp; 5 = Rất cao</x:v>
      </x:c>
      <x:c r="E44" s="72" t="str"/>
      <x:c r="F44" s="62" t="str"/>
      <x:c r="G44" s="76" t="str"/>
    </x:row>
    <x:row r="45" ht="46" customHeight="1">
      <x:c r="A45" s="69" t="str">
        <x:v>WL3</x:v>
      </x:c>
      <x:c r="B45" s="62" t="str">
        <x:v>Mức độ bực bội hoặc căng thẳng do việc phối hợp gây ra.</x:v>
      </x:c>
      <x:c r="C45" s="62" t="str">
        <x:v>Frustration</x:v>
      </x:c>
      <x:c r="D45" s="62" t="str">
        <x:v>1 = Rất thấp; 5 = Rất cao</x:v>
      </x:c>
      <x:c r="E45" s="72" t="str"/>
      <x:c r="F45" s="62" t="str"/>
      <x:c r="G45" s="76" t="str"/>
    </x:row>
    <x:row r="46" ht="46" customHeight="1">
      <x:c r="A46" s="69" t="str">
        <x:v>V1</x:v>
      </x:c>
      <x:c r="B46" s="62" t="str">
        <x:v>Mức độ chóng mặt, buồn nôn, đau đầu hoặc mỏi mắt sau phiên multiplayer.</x:v>
      </x:c>
      <x:c r="C46" s="62" t="str">
        <x:v>Khó chịu sau VR</x:v>
      </x:c>
      <x:c r="D46" s="62" t="str">
        <x:v>Không có / Nhẹ / Vừa / Nặng / Phải dừng</x:v>
      </x:c>
      <x:c r="E46" s="72" t="str"/>
      <x:c r="F46" s="62" t="str"/>
      <x:c r="G46" s="76" t="str"/>
    </x:row>
    <x:row r="48" ht="24" customHeight="1">
      <x:c r="A48" s="85" t="str">
        <x:v>E. DỮ LIỆU QUAN SÁT — DÀNH CHO NHÀ NGHIÊN CỨU</x:v>
      </x:c>
      <x:c r="B48" s="85"/>
      <x:c r="C48" s="85"/>
      <x:c r="D48" s="85"/>
      <x:c r="E48" s="85"/>
      <x:c r="F48" s="85"/>
      <x:c r="G48" s="85"/>
    </x:row>
    <x:row r="49" ht="30" customHeight="1">
      <x:c r="A49" s="55" t="str">
        <x:v>Mã</x:v>
      </x:c>
      <x:c r="B49" s="55" t="str">
        <x:v>Câu hỏi / nhận định</x:v>
      </x:c>
      <x:c r="C49" s="55" t="str">
        <x:v>Loại dữ liệu</x:v>
      </x:c>
      <x:c r="D49" s="55" t="str">
        <x:v>Phương án / thang đo</x:v>
      </x:c>
      <x:c r="E49" s="55" t="str">
        <x:v>Câu trả lời</x:v>
      </x:c>
      <x:c r="F49" s="55" t="str">
        <x:v>Ghi chú</x:v>
      </x:c>
      <x:c r="G49" s="55" t="str">
        <x:v>Mã hóa (NCV)</x:v>
      </x:c>
    </x:row>
    <x:row r="50" ht="46" customHeight="1">
      <x:c r="A50" s="69" t="str">
        <x:v>O1</x:v>
      </x:c>
      <x:c r="B50" s="61" t="str">
        <x:v>Kết quả hoàn thành tình huống của nhóm</x:v>
      </x:c>
      <x:c r="C50" s="61" t="str">
        <x:v>Quan sát</x:v>
      </x:c>
      <x:c r="D50" s="61" t="str">
        <x:v>Nhà nghiên cứu ghi</x:v>
      </x:c>
      <x:c r="E50" s="72" t="str"/>
      <x:c r="F50" s="61" t="str"/>
      <x:c r="G50" s="76" t="str"/>
    </x:row>
    <x:row r="51" ht="46" customHeight="1">
      <x:c r="A51" s="69" t="str">
        <x:v>O2</x:v>
      </x:c>
      <x:c r="B51" s="62" t="str">
        <x:v>Thời gian hoàn thành của nhóm (giây)</x:v>
      </x:c>
      <x:c r="C51" s="62" t="str">
        <x:v>Số</x:v>
      </x:c>
      <x:c r="D51" s="62" t="str">
        <x:v>Nhập số giây</x:v>
      </x:c>
      <x:c r="E51" s="72" t="str"/>
      <x:c r="F51" s="62" t="str"/>
      <x:c r="G51" s="76" t="str"/>
    </x:row>
    <x:row r="52" ht="46" customHeight="1">
      <x:c r="A52" s="69" t="str">
        <x:v>O3</x:v>
      </x:c>
      <x:c r="B52" s="62" t="str">
        <x:v>Số lần người hướng dẫn phải hỗ trợ hoặc nhắc nhóm</x:v>
      </x:c>
      <x:c r="C52" s="62" t="str">
        <x:v>Số</x:v>
      </x:c>
      <x:c r="D52" s="62" t="str">
        <x:v>Nhập số lần</x:v>
      </x:c>
      <x:c r="E52" s="72" t="str"/>
      <x:c r="F52" s="62" t="str"/>
      <x:c r="G52" s="76" t="str"/>
    </x:row>
    <x:row r="53" ht="46" customHeight="1">
      <x:c r="A53" s="69" t="str">
        <x:v>O4</x:v>
      </x:c>
      <x:c r="B53" s="62" t="str">
        <x:v>Số lỗi an toàn nghiêm trọng của nhóm</x:v>
      </x:c>
      <x:c r="C53" s="62" t="str">
        <x:v>Số</x:v>
      </x:c>
      <x:c r="D53" s="62" t="str">
        <x:v>Nhập số lỗi</x:v>
      </x:c>
      <x:c r="E53" s="72" t="str"/>
      <x:c r="F53" s="62" t="str"/>
      <x:c r="G53" s="76" t="str"/>
    </x:row>
    <x:row r="54" ht="46" customHeight="1">
      <x:c r="A54" s="69" t="str">
        <x:v>O5</x:v>
      </x:c>
      <x:c r="B54" s="62" t="str">
        <x:v>Số lần giao tiếp sai hoặc thiếu thông tin quan trọng</x:v>
      </x:c>
      <x:c r="C54" s="62" t="str">
        <x:v>Số</x:v>
      </x:c>
      <x:c r="D54" s="62" t="str">
        <x:v>Nhập số lần</x:v>
      </x:c>
      <x:c r="E54" s="72" t="str"/>
      <x:c r="F54" s="62" t="str"/>
      <x:c r="G54" s="76" t="str"/>
    </x:row>
    <x:row r="55" ht="46" customHeight="1">
      <x:c r="A55" s="69" t="str">
        <x:v>O6</x:v>
      </x:c>
      <x:c r="B55" s="62" t="str">
        <x:v>Số nhiệm vụ bị bỏ sót hoặc thực hiện trùng lặp</x:v>
      </x:c>
      <x:c r="C55" s="62" t="str">
        <x:v>Số</x:v>
      </x:c>
      <x:c r="D55" s="62" t="str">
        <x:v>Nhập số nhiệm vụ</x:v>
      </x:c>
      <x:c r="E55" s="72" t="str"/>
      <x:c r="F55" s="62" t="str"/>
      <x:c r="G55" s="76" t="str"/>
    </x:row>
    <x:row r="56" ht="46" customHeight="1">
      <x:c r="A56" s="69" t="str">
        <x:v>O7</x:v>
      </x:c>
      <x:c r="B56" s="62" t="str">
        <x:v>Mức độ lỗi kết nối hoặc đồng bộ ảnh hưởng đến nhóm</x:v>
      </x:c>
      <x:c r="C56" s="62" t="str">
        <x:v>Quan sát</x:v>
      </x:c>
      <x:c r="D56" s="62" t="str">
        <x:v>Không có / Nhẹ / Vừa / Nghiêm trọng</x:v>
      </x:c>
      <x:c r="E56" s="72" t="str"/>
      <x:c r="F56" s="62" t="str"/>
      <x:c r="G56" s="76" t="str"/>
    </x:row>
    <x:row r="57" ht="46" customHeight="1">
      <x:c r="A57" s="69" t="str">
        <x:v>O8</x:v>
      </x:c>
      <x:c r="B57" s="62" t="str">
        <x:v>Nhóm có phân vai hoặc thống nhất kế hoạch trước khi hành động không?</x:v>
      </x:c>
      <x:c r="C57" s="62" t="str">
        <x:v>Quan sát</x:v>
      </x:c>
      <x:c r="D57" s="62" t="str">
        <x:v>Có / Một phần / Không</x:v>
      </x:c>
      <x:c r="E57" s="72" t="str"/>
      <x:c r="F57" s="62" t="str"/>
      <x:c r="G57" s="76" t="str"/>
    </x:row>
    <x:row r="58" ht="72" customHeight="1">
      <x:c r="A58" s="69" t="str">
        <x:v>O9</x:v>
      </x:c>
      <x:c r="B58" s="62" t="str">
        <x:v>Mô tả hành vi phối hợp, lỗi an toàn hoặc lỗi kỹ thuật đáng chú ý</x:v>
      </x:c>
      <x:c r="C58" s="62" t="str">
        <x:v>Ghi chú</x:v>
      </x:c>
      <x:c r="D58" s="62" t="str">
        <x:v>Nhà nghiên cứu ghi</x:v>
      </x:c>
      <x:c r="E58" s="72" t="str"/>
      <x:c r="F58" s="62" t="str"/>
      <x:c r="G58" s="76" t="str"/>
    </x:row>
    <x:row r="60" ht="24" customHeight="1">
      <x:c r="A60" s="82" t="str">
        <x:v>F. CÂU HỎI PHỎNG VẤN MỞ</x:v>
      </x:c>
      <x:c r="B60" s="82"/>
      <x:c r="C60" s="82"/>
      <x:c r="D60" s="82"/>
      <x:c r="E60" s="82"/>
      <x:c r="F60" s="82"/>
      <x:c r="G60" s="82"/>
    </x:row>
    <x:row r="61" ht="30" customHeight="1">
      <x:c r="A61" s="55" t="str">
        <x:v>Mã</x:v>
      </x:c>
      <x:c r="B61" s="55" t="str">
        <x:v>Câu hỏi / nhận định</x:v>
      </x:c>
      <x:c r="C61" s="55" t="str">
        <x:v>Loại dữ liệu</x:v>
      </x:c>
      <x:c r="D61" s="55" t="str">
        <x:v>Phương án / thang đo</x:v>
      </x:c>
      <x:c r="E61" s="55" t="str">
        <x:v>Câu trả lời</x:v>
      </x:c>
      <x:c r="F61" s="55" t="str">
        <x:v>Ghi chú</x:v>
      </x:c>
      <x:c r="G61" s="55" t="str">
        <x:v>Mã hóa (NCV)</x:v>
      </x:c>
    </x:row>
    <x:row r="62" ht="72" customHeight="1">
      <x:c r="A62" s="69" t="str">
        <x:v>I1</x:v>
      </x:c>
      <x:c r="B62" s="61" t="str">
        <x:v>Điều gì trong quá trình phối hợp giữa hai người hoạt động tốt nhất? Vì sao?</x:v>
      </x:c>
      <x:c r="C62" s="61" t="str">
        <x:v>Phỏng vấn mở</x:v>
      </x:c>
      <x:c r="D62" s="61" t="str">
        <x:v>Ghi nguyên ý người tham gia</x:v>
      </x:c>
      <x:c r="E62" s="72" t="str"/>
      <x:c r="F62" s="61" t="str"/>
      <x:c r="G62" s="76" t="str"/>
    </x:row>
    <x:row r="63" ht="72" customHeight="1">
      <x:c r="A63" s="69" t="str">
        <x:v>I2</x:v>
      </x:c>
      <x:c r="B63" s="62" t="str">
        <x:v>Hai người đã phân chia vai trò và quyết định thứ tự công việc như thế nào?</x:v>
      </x:c>
      <x:c r="C63" s="62" t="str">
        <x:v>Phỏng vấn mở</x:v>
      </x:c>
      <x:c r="D63" s="62" t="str">
        <x:v>Ghi nguyên ý người tham gia</x:v>
      </x:c>
      <x:c r="E63" s="72" t="str"/>
      <x:c r="F63" s="62" t="str"/>
      <x:c r="G63" s="76" t="str"/>
    </x:row>
    <x:row r="64" ht="72" customHeight="1">
      <x:c r="A64" s="69" t="str">
        <x:v>I3</x:v>
      </x:c>
      <x:c r="B64" s="62" t="str">
        <x:v>Có thời điểm nào bạn không hiểu ý hoặc không biết người chơi còn lại đang làm gì không?</x:v>
      </x:c>
      <x:c r="C64" s="62" t="str">
        <x:v>Phỏng vấn mở</x:v>
      </x:c>
      <x:c r="D64" s="62" t="str">
        <x:v>Yêu cầu ví dụ cụ thể</x:v>
      </x:c>
      <x:c r="E64" s="72" t="str"/>
      <x:c r="F64" s="62" t="str"/>
      <x:c r="G64" s="76" t="str"/>
    </x:row>
    <x:row r="65" ht="72" customHeight="1">
      <x:c r="A65" s="69" t="str">
        <x:v>I4</x:v>
      </x:c>
      <x:c r="B65" s="62" t="str">
        <x:v>Có nhiệm vụ nào bị bỏ sót, thực hiện trùng lặp hoặc gây cản trở cho nhau không?</x:v>
      </x:c>
      <x:c r="C65" s="62" t="str">
        <x:v>Phỏng vấn mở</x:v>
      </x:c>
      <x:c r="D65" s="62" t="str">
        <x:v>Yêu cầu ví dụ cụ thể</x:v>
      </x:c>
      <x:c r="E65" s="72" t="str"/>
      <x:c r="F65" s="62" t="str"/>
      <x:c r="G65" s="76" t="str"/>
    </x:row>
    <x:row r="66" ht="72" customHeight="1">
      <x:c r="A66" s="69" t="str">
        <x:v>I5</x:v>
      </x:c>
      <x:c r="B66" s="62" t="str">
        <x:v>Bạn gặp vấn đề gì về kết nối, giọng nói, avatar, vị trí hoặc đồng bộ vật thể?</x:v>
      </x:c>
      <x:c r="C66" s="62" t="str">
        <x:v>Phỏng vấn mở</x:v>
      </x:c>
      <x:c r="D66" s="62" t="str">
        <x:v>Mô tả thời điểm và hậu quả</x:v>
      </x:c>
      <x:c r="E66" s="72" t="str"/>
      <x:c r="F66" s="62" t="str"/>
      <x:c r="G66" s="76" t="str"/>
    </x:row>
    <x:row r="67" ht="72" customHeight="1">
      <x:c r="A67" s="69" t="str">
        <x:v>I6</x:v>
      </x:c>
      <x:c r="B67" s="62" t="str">
        <x:v>Hành động hoặc phản hồi của người chơi còn lại đã hỗ trợ hoặc cản trở việc học của bạn như thế nào?</x:v>
      </x:c>
      <x:c r="C67" s="62" t="str">
        <x:v>Phỏng vấn mở</x:v>
      </x:c>
      <x:c r="D67" s="62" t="str">
        <x:v>Ghi nguyên ý người tham gia</x:v>
      </x:c>
      <x:c r="E67" s="72" t="str"/>
      <x:c r="F67" s="62" t="str"/>
      <x:c r="G67" s="76" t="str"/>
    </x:row>
    <x:row r="68" ht="72" customHeight="1">
      <x:c r="A68" s="69" t="str">
        <x:v>I7</x:v>
      </x:c>
      <x:c r="B68" s="62" t="str">
        <x:v>So với singleplayer, ưu điểm lớn nhất của multiplayer là gì?</x:v>
      </x:c>
      <x:c r="C68" s="62" t="str">
        <x:v>Phỏng vấn mở</x:v>
      </x:c>
      <x:c r="D68" s="62" t="str">
        <x:v>Ghi một hoặc nhiều ưu điểm</x:v>
      </x:c>
      <x:c r="E68" s="72" t="str"/>
      <x:c r="F68" s="62" t="str"/>
      <x:c r="G68" s="76" t="str"/>
    </x:row>
    <x:row r="69" ht="72" customHeight="1">
      <x:c r="A69" s="69" t="str">
        <x:v>I8</x:v>
      </x:c>
      <x:c r="B69" s="62" t="str">
        <x:v>So với singleplayer, hạn chế lớn nhất của multiplayer là gì?</x:v>
      </x:c>
      <x:c r="C69" s="62" t="str">
        <x:v>Phỏng vấn mở</x:v>
      </x:c>
      <x:c r="D69" s="62" t="str">
        <x:v>Ghi một hoặc nhiều hạn chế</x:v>
      </x:c>
      <x:c r="E69" s="72" t="str"/>
      <x:c r="F69" s="62" t="str"/>
      <x:c r="G69" s="76" t="str"/>
    </x:row>
    <x:row r="70" ht="72" customHeight="1">
      <x:c r="A70" s="69" t="str">
        <x:v>I9</x:v>
      </x:c>
      <x:c r="B70" s="62" t="str">
        <x:v>Nếu chỉ được sửa một vấn đề của chế độ multiplayer, bạn muốn ưu tiên sửa điều gì?</x:v>
      </x:c>
      <x:c r="C70" s="62" t="str">
        <x:v>Phỏng vấn mở</x:v>
      </x:c>
      <x:c r="D70" s="62" t="str">
        <x:v>Ghi một ưu tiên chính</x:v>
      </x:c>
      <x:c r="E70" s="72" t="str"/>
      <x:c r="F70" s="62" t="str"/>
      <x:c r="G70" s="76" t="str"/>
    </x:row>
    <x:row r="71" ht="72" customHeight="1">
      <x:c r="A71" s="69" t="str">
        <x:v>I10</x:v>
      </x:c>
      <x:c r="B71" s="62" t="str">
        <x:v>Bạn muốn bổ sung tính năng nào để giao tiếp, phân vai hoặc phối hợp tốt hơn?</x:v>
      </x:c>
      <x:c r="C71" s="62" t="str">
        <x:v>Phỏng vấn mở</x:v>
      </x:c>
      <x:c r="D71" s="62" t="str">
        <x:v>Có thể nêu nhiều đề xuất</x:v>
      </x:c>
      <x:c r="E71" s="72" t="str"/>
      <x:c r="F71" s="62" t="str"/>
      <x:c r="G71" s="76" t="str"/>
    </x:row>
  </x:sheetData>
  <x:mergeCells>
    <x:mergeCell ref="A1:G1"/>
    <x:mergeCell ref="A2:G2"/>
    <x:mergeCell ref="A6:G6"/>
    <x:mergeCell ref="A15:G15"/>
    <x:mergeCell ref="A29:G29"/>
    <x:mergeCell ref="A41:G41"/>
    <x:mergeCell ref="A48:G48"/>
    <x:mergeCell ref="A60:G60"/>
  </x:mergeCells>
  <x:dataValidations count="37">
    <x:dataValidation type="list" sqref="B4">
      <x:formula1>"Phát hiện/cảnh báo,Khóa van/xử lý nguồn gas,Thông gió/hỗ trợ,Sơ tán/gọi hỗ trợ,Không phân vai,Khác"</x:formula1>
    </x:dataValidation>
    <x:dataValidation type="list" sqref="D4">
      <x:formula1>"Voice chat trong VR,Nói trực tiếp bên ngoài,Cử chỉ/avatar,Kết hợp,Không giao tiếp"</x:formula1>
    </x:dataValidation>
    <x:dataValidation type="list" sqref="F4">
      <x:formula1>"Không biết trước,Biết sơ,Quen,Rất quen"</x:formula1>
    </x:dataValidation>
    <x:dataValidation type="list" sqref="E8">
      <x:formula1>"1,2,3,4,5,N/A"</x:formula1>
    </x:dataValidation>
    <x:dataValidation type="list" sqref="E9">
      <x:formula1>"1,2,3,4,5,N/A"</x:formula1>
    </x:dataValidation>
    <x:dataValidation type="list" sqref="E10">
      <x:formula1>"1,2,3,4,5,N/A"</x:formula1>
    </x:dataValidation>
    <x:dataValidation type="list" sqref="E11">
      <x:formula1>"1,2,3,4,5,N/A"</x:formula1>
    </x:dataValidation>
    <x:dataValidation type="list" sqref="E12">
      <x:formula1>"1,2,3,4,5,N/A"</x:formula1>
    </x:dataValidation>
    <x:dataValidation type="list" sqref="E13">
      <x:formula1>"1,2,3,4,5,N/A"</x:formula1>
    </x:dataValidation>
    <x:dataValidation type="list" sqref="E17">
      <x:formula1>"1,2,3,4,5"</x:formula1>
    </x:dataValidation>
    <x:dataValidation type="list" sqref="E18">
      <x:formula1>"1,2,3,4,5"</x:formula1>
    </x:dataValidation>
    <x:dataValidation type="list" sqref="E19">
      <x:formula1>"1,2,3,4,5"</x:formula1>
    </x:dataValidation>
    <x:dataValidation type="list" sqref="E20">
      <x:formula1>"1,2,3,4,5"</x:formula1>
    </x:dataValidation>
    <x:dataValidation type="list" sqref="E21">
      <x:formula1>"1,2,3,4,5"</x:formula1>
    </x:dataValidation>
    <x:dataValidation type="list" sqref="E22">
      <x:formula1>"1,2,3,4,5"</x:formula1>
    </x:dataValidation>
    <x:dataValidation type="list" sqref="E23">
      <x:formula1>"1,2,3,4,5"</x:formula1>
    </x:dataValidation>
    <x:dataValidation type="list" sqref="E24">
      <x:formula1>"1,2,3,4,5"</x:formula1>
    </x:dataValidation>
    <x:dataValidation type="list" sqref="E25">
      <x:formula1>"1,2,3,4,5"</x:formula1>
    </x:dataValidation>
    <x:dataValidation type="list" sqref="E26">
      <x:formula1>"1,2,3,4,5"</x:formula1>
    </x:dataValidation>
    <x:dataValidation type="list" sqref="E27">
      <x:formula1>"1,2,3,4,5"</x:formula1>
    </x:dataValidation>
    <x:dataValidation type="list" sqref="E31">
      <x:formula1>"1,2,3,4,5"</x:formula1>
    </x:dataValidation>
    <x:dataValidation type="list" sqref="E32">
      <x:formula1>"1,2,3,4,5"</x:formula1>
    </x:dataValidation>
    <x:dataValidation type="list" sqref="E33">
      <x:formula1>"1,2,3,4,5"</x:formula1>
    </x:dataValidation>
    <x:dataValidation type="list" sqref="E34">
      <x:formula1>"1,2,3,4,5"</x:formula1>
    </x:dataValidation>
    <x:dataValidation type="list" sqref="E35">
      <x:formula1>"1,2,3,4,5"</x:formula1>
    </x:dataValidation>
    <x:dataValidation type="list" sqref="E36">
      <x:formula1>"1,2,3,4,5"</x:formula1>
    </x:dataValidation>
    <x:dataValidation type="list" sqref="E37">
      <x:formula1>"Singleplayer,Multiplayer,Tương đương,Không chắc"</x:formula1>
    </x:dataValidation>
    <x:dataValidation type="list" sqref="E38">
      <x:formula1>"Singleplayer,Multiplayer,Tương đương,Không chắc"</x:formula1>
    </x:dataValidation>
    <x:dataValidation type="list" sqref="E39">
      <x:formula1>"Chỉ singleplayer,Chỉ multiplayer,Kết hợp cả hai,Không có ưu tiên"</x:formula1>
    </x:dataValidation>
    <x:dataValidation type="list" sqref="E43">
      <x:formula1>"1,2,3,4,5"</x:formula1>
    </x:dataValidation>
    <x:dataValidation type="list" sqref="E44">
      <x:formula1>"1,2,3,4,5"</x:formula1>
    </x:dataValidation>
    <x:dataValidation type="list" sqref="E45">
      <x:formula1>"1,2,3,4,5"</x:formula1>
    </x:dataValidation>
    <x:dataValidation type="list" sqref="E46">
      <x:formula1>"Không có,Nhẹ,Vừa,Nặng,Phải dừng"</x:formula1>
    </x:dataValidation>
    <x:dataValidation type="list" sqref="E50">
      <x:formula1>"Hoàn thành độc lập,Hoàn thành có hỗ trợ,Không hoàn thành,Dừng vì khó chịu,Dừng vì lỗi kỹ thuật"</x:formula1>
    </x:dataValidation>
    <x:dataValidation type="list" sqref="E56">
      <x:formula1>"Không có,Nhẹ,Vừa,Nghiêm trọng"</x:formula1>
    </x:dataValidation>
    <x:dataValidation type="list" sqref="E57">
      <x:formula1>"Có,Một phần,Không"</x:formula1>
    </x:dataValidation>
    <x:dataValidation type="whole" operator="between" sqref="E51:E55">
      <x:formula1>0</x:formula1>
      <x:formula2>9999</x:formula2>
    </x:dataValidation>
  </x:dataValidations>
  <x:pageMargins left="0.7" right="0.7" top="0.75" bottom="0.75" header="0.3" footer="0.3"/>
</x:worksheet>
</file>